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  <sheet name="Sheet2" sheetId="2" r:id="rId2"/>
  </sheets>
  <definedNames>
    <definedName name="ExternalData_1" localSheetId="1">Sheet2!$A$3:$E$6</definedName>
    <definedName name="sheet1" localSheetId="0">Sheet1!$B$1:$K$2</definedName>
    <definedName name="sheet1_1" localSheetId="0">Sheet1!$B$3:$K$3</definedName>
    <definedName name="sheet2" localSheetId="1">Sheet2!$A$1:$E$2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2" l="1"/>
  <c r="N10" i="1"/>
  <c r="L10" i="1"/>
</calcChain>
</file>

<file path=xl/connections.xml><?xml version="1.0" encoding="utf-8"?>
<connections xmlns="http://schemas.openxmlformats.org/spreadsheetml/2006/main">
  <connection id="1" name="sheet1" type="6" refreshedVersion="6" background="1" saveData="1">
    <textPr codePage="65001" sourceFile="C:\Users\z.mohammadi\Downloads\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sheet111" type="6" refreshedVersion="6" background="1" saveData="1">
    <textPr codePage="65001" sourceFile="C:\Users\z.mohammadi\Downloads\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" name="sheet2" type="6" refreshedVersion="6" background="1" saveData="1">
    <textPr codePage="65001" sourceFile="C:\Users\z.mohammadi\Downloads\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4" name="sheet21" type="6" refreshedVersion="6" background="1" saveData="1">
    <textPr codePage="65001" sourceFile="C:\Users\z.mohammadi\Downloads\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<sst xmlns="http://schemas.openxmlformats.org/spreadsheetml/2006/main" count="197" uniqueCount="63">
  <si>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</si>
  <si>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</si>
  <si>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</si>
  <si>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</si>
  <si>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</si>
  <si>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</si>
  <si>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</si>
  <si>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</si>
  <si>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</si>
  <si>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</si>
  <si>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</si>
  <si>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</si>
  <si>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</si>
  <si>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</si>
  <si>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14023443</t>
  </si>
  <si>
    <t>1404/02/20</t>
  </si>
  <si>
    <t>10:00</t>
  </si>
  <si>
    <t>2</t>
  </si>
  <si>
    <t>تولیدی صنعتی فراسان</t>
  </si>
  <si>
    <t>10530157594</t>
  </si>
  <si>
    <t>7143746448</t>
  </si>
  <si>
    <t>14023442</t>
  </si>
  <si>
    <t>زرین غزال .دایتی.</t>
  </si>
  <si>
    <t>10530233676</t>
  </si>
  <si>
    <t>7158188785</t>
  </si>
  <si>
    <t>14023281</t>
  </si>
  <si>
    <t>فراورده هاي لبني رامك شيراز</t>
  </si>
  <si>
    <t>10530151206</t>
  </si>
  <si>
    <t>7134696414</t>
  </si>
  <si>
    <t>ردیف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</si>
  <si>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</si>
  <si>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</si>
  <si>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</si>
  <si>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</si>
  <si>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</si>
  <si>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</si>
  <si>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</si>
  <si>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</si>
  <si>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</si>
  <si>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</si>
  <si>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21</t>
  </si>
  <si>
    <t>24</t>
  </si>
  <si>
    <t>14023453</t>
  </si>
  <si>
    <t>1404/02/25</t>
  </si>
  <si>
    <t>سازمان صنعت و معدن و تجارت استان فارس</t>
  </si>
  <si>
    <t>14002771681</t>
  </si>
  <si>
    <t>7146716198</t>
  </si>
  <si>
    <t>14023447</t>
  </si>
  <si>
    <t>14023343</t>
  </si>
  <si>
    <t>آب منطقه ای فارس</t>
  </si>
  <si>
    <t>10530091489</t>
  </si>
  <si>
    <t>7143684855</t>
  </si>
  <si>
    <t>14023455</t>
  </si>
  <si>
    <t>1404/02/31</t>
  </si>
  <si>
    <t>جناب اقای کاووس داریونی</t>
  </si>
  <si>
    <t>2432486552</t>
  </si>
  <si>
    <t>7153116731</t>
  </si>
  <si>
    <t>14023456</t>
  </si>
  <si>
    <t>1404/03/01</t>
  </si>
  <si>
    <t>خدمات عمومی بهداشت صنعتی و خدمات درمانی صنعت نفت</t>
  </si>
  <si>
    <t>10101879133</t>
  </si>
  <si>
    <t>1593657919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</si>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</sst>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3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heet1_1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heet1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ExternalData_1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sheet2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="80" zoomScaleNormal="80" workbookViewId="0">
      <selection activeCell="H19" sqref="H19"/>
    </sheetView>
  </sheetViews>
  <sheetFormatPr defaultRowHeight="14.5" x14ac:dyDescent="0.35"/>
  <cols>
    <col min="1" max="1" width="4.54296875" style="2" bestFit="1" customWidth="1"/>
    <col min="2" max="2" width="16.08984375" style="2" bestFit="1" customWidth="1"/>
    <col min="3" max="3" width="9" style="2" bestFit="1" customWidth="1"/>
    <col min="4" max="4" width="10.6328125" style="2" bestFit="1" customWidth="1"/>
    <col min="5" max="5" width="5.453125" style="2" bestFit="1" customWidth="1"/>
    <col min="6" max="6" width="13.453125" style="2" bestFit="1" customWidth="1"/>
    <col min="7" max="7" width="13.6328125" style="2" bestFit="1" customWidth="1"/>
    <col min="8" max="8" width="43.08984375" style="2" bestFit="1" customWidth="1"/>
    <col min="9" max="9" width="16.36328125" style="2" bestFit="1" customWidth="1"/>
    <col min="10" max="10" width="16.54296875" style="2" bestFit="1" customWidth="1"/>
    <col min="11" max="11" width="11.90625" style="2" bestFit="1" customWidth="1"/>
    <col min="12" max="12" width="11" style="2" bestFit="1" customWidth="1"/>
    <col min="13" max="13" width="7.7265625" style="2" bestFit="1" customWidth="1"/>
    <col min="14" max="14" width="15.90625" style="2" bestFit="1" customWidth="1"/>
    <col min="15" max="16384" width="8.7265625" style="2"/>
  </cols>
  <sheetData>
    <row r="1" spans="1:14" x14ac:dyDescent="0.35">
      <c r="A1" s="8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8">
        <v>1</v>
      </c>
      <c r="B2" s="1" t="s">
        <v>13</v>
      </c>
      <c r="C2" s="1" t="s">
        <v>25</v>
      </c>
      <c r="D2" s="1" t="s">
        <v>15</v>
      </c>
      <c r="E2" s="1" t="s">
        <v>16</v>
      </c>
      <c r="F2" s="1" t="s">
        <v>13</v>
      </c>
      <c r="G2" s="1" t="s">
        <v>17</v>
      </c>
      <c r="H2" s="1" t="s">
        <v>26</v>
      </c>
      <c r="I2" s="1" t="s">
        <v>27</v>
      </c>
      <c r="J2" s="1" t="s">
        <v>27</v>
      </c>
      <c r="K2" s="1" t="s">
        <v>28</v>
      </c>
      <c r="L2" s="3">
        <v>4200000</v>
      </c>
      <c r="M2" s="3">
        <v>0</v>
      </c>
      <c r="N2" s="3">
        <v>4620000</v>
      </c>
    </row>
    <row r="3" spans="1:14" x14ac:dyDescent="0.35">
      <c r="A3" s="8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13</v>
      </c>
      <c r="G3" s="1" t="s">
        <v>17</v>
      </c>
      <c r="H3" s="1" t="s">
        <v>18</v>
      </c>
      <c r="I3" s="1" t="s">
        <v>19</v>
      </c>
      <c r="J3" s="1" t="s">
        <v>19</v>
      </c>
      <c r="K3" s="1" t="s">
        <v>20</v>
      </c>
      <c r="L3" s="3">
        <v>34861057</v>
      </c>
      <c r="M3" s="3">
        <v>0</v>
      </c>
      <c r="N3" s="3">
        <v>38347162.700000003</v>
      </c>
    </row>
    <row r="4" spans="1:14" x14ac:dyDescent="0.35">
      <c r="A4" s="8">
        <v>3</v>
      </c>
      <c r="B4" s="1" t="s">
        <v>13</v>
      </c>
      <c r="C4" s="1" t="s">
        <v>21</v>
      </c>
      <c r="D4" s="1" t="s">
        <v>15</v>
      </c>
      <c r="E4" s="1" t="s">
        <v>16</v>
      </c>
      <c r="F4" s="1" t="s">
        <v>13</v>
      </c>
      <c r="G4" s="1" t="s">
        <v>17</v>
      </c>
      <c r="H4" s="1" t="s">
        <v>22</v>
      </c>
      <c r="I4" s="1" t="s">
        <v>23</v>
      </c>
      <c r="J4" s="1" t="s">
        <v>23</v>
      </c>
      <c r="K4" s="1" t="s">
        <v>24</v>
      </c>
      <c r="L4" s="3">
        <v>25412664</v>
      </c>
      <c r="M4" s="3">
        <v>0</v>
      </c>
      <c r="N4" s="3">
        <v>27953930.399999999</v>
      </c>
    </row>
    <row r="5" spans="1:14" x14ac:dyDescent="0.35">
      <c r="A5" s="8">
        <v>4</v>
      </c>
      <c r="B5" s="1" t="s">
        <v>13</v>
      </c>
      <c r="C5" s="1" t="s">
        <v>42</v>
      </c>
      <c r="D5" s="1" t="s">
        <v>43</v>
      </c>
      <c r="E5" s="1" t="s">
        <v>16</v>
      </c>
      <c r="F5" s="1" t="s">
        <v>13</v>
      </c>
      <c r="G5" s="1" t="s">
        <v>17</v>
      </c>
      <c r="H5" s="1" t="s">
        <v>44</v>
      </c>
      <c r="I5" s="1" t="s">
        <v>45</v>
      </c>
      <c r="J5" s="1" t="s">
        <v>45</v>
      </c>
      <c r="K5" s="1" t="s">
        <v>46</v>
      </c>
      <c r="L5" s="3">
        <v>83333333</v>
      </c>
      <c r="M5" s="3">
        <v>0</v>
      </c>
      <c r="N5" s="3">
        <v>91666666.299999997</v>
      </c>
    </row>
    <row r="6" spans="1:14" x14ac:dyDescent="0.35">
      <c r="A6" s="8">
        <v>5</v>
      </c>
      <c r="B6" s="1" t="s">
        <v>13</v>
      </c>
      <c r="C6" s="1" t="s">
        <v>47</v>
      </c>
      <c r="D6" s="1" t="s">
        <v>43</v>
      </c>
      <c r="E6" s="1" t="s">
        <v>16</v>
      </c>
      <c r="F6" s="1" t="s">
        <v>13</v>
      </c>
      <c r="G6" s="1" t="s">
        <v>17</v>
      </c>
      <c r="H6" s="1" t="s">
        <v>44</v>
      </c>
      <c r="I6" s="1" t="s">
        <v>45</v>
      </c>
      <c r="J6" s="1" t="s">
        <v>45</v>
      </c>
      <c r="K6" s="1" t="s">
        <v>46</v>
      </c>
      <c r="L6" s="3">
        <v>166666666</v>
      </c>
      <c r="M6" s="3">
        <v>0</v>
      </c>
      <c r="N6" s="3">
        <v>183333332.59999999</v>
      </c>
    </row>
    <row r="7" spans="1:14" x14ac:dyDescent="0.35">
      <c r="A7" s="8">
        <v>6</v>
      </c>
      <c r="B7" s="1" t="s">
        <v>13</v>
      </c>
      <c r="C7" s="1" t="s">
        <v>48</v>
      </c>
      <c r="D7" s="1" t="s">
        <v>43</v>
      </c>
      <c r="E7" s="1" t="s">
        <v>16</v>
      </c>
      <c r="F7" s="1" t="s">
        <v>13</v>
      </c>
      <c r="G7" s="1" t="s">
        <v>17</v>
      </c>
      <c r="H7" s="1" t="s">
        <v>49</v>
      </c>
      <c r="I7" s="1" t="s">
        <v>50</v>
      </c>
      <c r="J7" s="1" t="s">
        <v>50</v>
      </c>
      <c r="K7" s="1" t="s">
        <v>51</v>
      </c>
      <c r="L7" s="3">
        <v>308266667</v>
      </c>
      <c r="M7" s="3">
        <v>0</v>
      </c>
      <c r="N7" s="3">
        <v>339093333.69999999</v>
      </c>
    </row>
    <row r="8" spans="1:14" ht="15" customHeight="1" x14ac:dyDescent="0.35">
      <c r="A8" s="8">
        <v>7</v>
      </c>
      <c r="B8" s="1" t="s">
        <v>13</v>
      </c>
      <c r="C8" s="1" t="s">
        <v>52</v>
      </c>
      <c r="D8" s="1" t="s">
        <v>53</v>
      </c>
      <c r="E8" s="1" t="s">
        <v>16</v>
      </c>
      <c r="F8" s="1" t="s">
        <v>13</v>
      </c>
      <c r="G8" s="1" t="s">
        <v>17</v>
      </c>
      <c r="H8" s="1" t="s">
        <v>54</v>
      </c>
      <c r="I8" s="1" t="s">
        <v>55</v>
      </c>
      <c r="J8" s="1" t="s">
        <v>55</v>
      </c>
      <c r="K8" s="1" t="s">
        <v>56</v>
      </c>
      <c r="L8" s="3">
        <v>51000000</v>
      </c>
      <c r="M8" s="3">
        <v>0</v>
      </c>
      <c r="N8" s="3">
        <v>56100000</v>
      </c>
    </row>
    <row r="9" spans="1:14" ht="13.5" customHeight="1" x14ac:dyDescent="0.35">
      <c r="A9" s="8">
        <v>8</v>
      </c>
      <c r="B9" s="1" t="s">
        <v>13</v>
      </c>
      <c r="C9" s="1" t="s">
        <v>57</v>
      </c>
      <c r="D9" s="1" t="s">
        <v>58</v>
      </c>
      <c r="E9" s="1" t="s">
        <v>16</v>
      </c>
      <c r="F9" s="1" t="s">
        <v>13</v>
      </c>
      <c r="G9" s="1" t="s">
        <v>17</v>
      </c>
      <c r="H9" s="1" t="s">
        <v>59</v>
      </c>
      <c r="I9" s="1" t="s">
        <v>60</v>
      </c>
      <c r="J9" s="1" t="s">
        <v>60</v>
      </c>
      <c r="K9" s="1" t="s">
        <v>61</v>
      </c>
      <c r="L9" s="3">
        <v>171363636</v>
      </c>
      <c r="M9" s="3">
        <v>0</v>
      </c>
      <c r="N9" s="3">
        <v>188499999.59999999</v>
      </c>
    </row>
    <row r="10" spans="1:14" x14ac:dyDescent="0.35">
      <c r="L10" s="6">
        <f>SUM(L2:L9)</f>
        <v>845104023</v>
      </c>
      <c r="N10" s="7">
        <f>SUM(N2:N9)</f>
        <v>929614425.30000007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N10" sqref="N10"/>
    </sheetView>
  </sheetViews>
  <sheetFormatPr defaultRowHeight="14.5" x14ac:dyDescent="0.35"/>
  <cols>
    <col min="1" max="1" width="8.81640625" style="2" bestFit="1" customWidth="1"/>
    <col min="2" max="2" width="13.90625" style="2" bestFit="1" customWidth="1"/>
    <col min="3" max="3" width="12.08984375" style="2" bestFit="1" customWidth="1"/>
    <col min="4" max="4" width="6.453125" style="2" bestFit="1" customWidth="1"/>
    <col min="5" max="5" width="4.36328125" style="2" bestFit="1" customWidth="1"/>
    <col min="6" max="6" width="11.36328125" style="2" bestFit="1" customWidth="1"/>
    <col min="7" max="7" width="10.7265625" style="2" bestFit="1" customWidth="1"/>
    <col min="8" max="8" width="9.453125" style="2" bestFit="1" customWidth="1"/>
    <col min="9" max="16384" width="8.7265625" style="2"/>
  </cols>
  <sheetData>
    <row r="1" spans="1:8" x14ac:dyDescent="0.35">
      <c r="A1" s="4" t="s">
        <v>1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</row>
    <row r="2" spans="1:8" x14ac:dyDescent="0.35">
      <c r="A2" s="4" t="s">
        <v>25</v>
      </c>
      <c r="B2" s="4" t="s">
        <v>37</v>
      </c>
      <c r="C2" s="4" t="s">
        <v>38</v>
      </c>
      <c r="D2" s="4" t="s">
        <v>39</v>
      </c>
      <c r="E2" s="4" t="s">
        <v>40</v>
      </c>
      <c r="F2" s="5">
        <v>400000</v>
      </c>
      <c r="G2" s="5">
        <v>4200000</v>
      </c>
      <c r="H2" s="5">
        <v>10</v>
      </c>
    </row>
    <row r="3" spans="1:8" x14ac:dyDescent="0.35">
      <c r="A3" s="4" t="s">
        <v>14</v>
      </c>
      <c r="B3" s="4" t="s">
        <v>37</v>
      </c>
      <c r="C3" s="4" t="s">
        <v>38</v>
      </c>
      <c r="D3" s="4" t="s">
        <v>39</v>
      </c>
      <c r="E3" s="4" t="s">
        <v>40</v>
      </c>
      <c r="F3" s="5">
        <v>915957</v>
      </c>
      <c r="G3" s="5">
        <v>4880547</v>
      </c>
      <c r="H3" s="5">
        <v>10</v>
      </c>
    </row>
    <row r="4" spans="1:8" x14ac:dyDescent="0.35">
      <c r="A4" s="4" t="s">
        <v>14</v>
      </c>
      <c r="B4" s="4" t="s">
        <v>37</v>
      </c>
      <c r="C4" s="4" t="s">
        <v>38</v>
      </c>
      <c r="D4" s="4" t="s">
        <v>39</v>
      </c>
      <c r="E4" s="4" t="s">
        <v>13</v>
      </c>
      <c r="F4" s="5">
        <v>27478710</v>
      </c>
      <c r="G4" s="5">
        <v>6972210</v>
      </c>
      <c r="H4" s="5">
        <v>10</v>
      </c>
    </row>
    <row r="5" spans="1:8" x14ac:dyDescent="0.35">
      <c r="A5" s="4" t="s">
        <v>14</v>
      </c>
      <c r="B5" s="4" t="s">
        <v>37</v>
      </c>
      <c r="C5" s="4" t="s">
        <v>38</v>
      </c>
      <c r="D5" s="4" t="s">
        <v>39</v>
      </c>
      <c r="E5" s="4" t="s">
        <v>40</v>
      </c>
      <c r="F5" s="5">
        <v>566667</v>
      </c>
      <c r="G5" s="5">
        <v>11900000</v>
      </c>
      <c r="H5" s="5">
        <v>10</v>
      </c>
    </row>
    <row r="6" spans="1:8" x14ac:dyDescent="0.35">
      <c r="A6" s="4" t="s">
        <v>14</v>
      </c>
      <c r="B6" s="4" t="s">
        <v>37</v>
      </c>
      <c r="C6" s="4" t="s">
        <v>38</v>
      </c>
      <c r="D6" s="4" t="s">
        <v>39</v>
      </c>
      <c r="E6" s="4" t="s">
        <v>13</v>
      </c>
      <c r="F6" s="5">
        <v>17000000</v>
      </c>
      <c r="G6" s="5">
        <v>17000000</v>
      </c>
      <c r="H6" s="5">
        <v>10</v>
      </c>
    </row>
    <row r="7" spans="1:8" x14ac:dyDescent="0.35">
      <c r="A7" s="4" t="s">
        <v>21</v>
      </c>
      <c r="B7" s="4" t="s">
        <v>37</v>
      </c>
      <c r="C7" s="4" t="s">
        <v>38</v>
      </c>
      <c r="D7" s="4" t="s">
        <v>39</v>
      </c>
      <c r="E7" s="4" t="s">
        <v>41</v>
      </c>
      <c r="F7" s="5">
        <v>1058861</v>
      </c>
      <c r="G7" s="5">
        <v>0</v>
      </c>
      <c r="H7" s="5">
        <v>10</v>
      </c>
    </row>
    <row r="8" spans="1:8" x14ac:dyDescent="0.35">
      <c r="A8" s="4" t="s">
        <v>42</v>
      </c>
      <c r="B8" s="4" t="s">
        <v>37</v>
      </c>
      <c r="C8" s="4" t="s">
        <v>38</v>
      </c>
      <c r="D8" s="4" t="s">
        <v>39</v>
      </c>
      <c r="E8" s="4" t="s">
        <v>13</v>
      </c>
      <c r="F8" s="5">
        <v>83333333</v>
      </c>
      <c r="G8" s="5">
        <v>0</v>
      </c>
      <c r="H8" s="5">
        <v>10</v>
      </c>
    </row>
    <row r="9" spans="1:8" x14ac:dyDescent="0.35">
      <c r="A9" s="4" t="s">
        <v>47</v>
      </c>
      <c r="B9" s="4" t="s">
        <v>37</v>
      </c>
      <c r="C9" s="4" t="s">
        <v>38</v>
      </c>
      <c r="D9" s="4" t="s">
        <v>39</v>
      </c>
      <c r="E9" s="4" t="s">
        <v>17</v>
      </c>
      <c r="F9" s="5">
        <v>83333333</v>
      </c>
      <c r="G9" s="5">
        <v>0</v>
      </c>
      <c r="H9" s="5">
        <v>10</v>
      </c>
    </row>
    <row r="10" spans="1:8" x14ac:dyDescent="0.35">
      <c r="A10" s="4" t="s">
        <v>48</v>
      </c>
      <c r="B10" s="4" t="s">
        <v>37</v>
      </c>
      <c r="C10" s="4" t="s">
        <v>38</v>
      </c>
      <c r="D10" s="4" t="s">
        <v>39</v>
      </c>
      <c r="E10" s="4" t="s">
        <v>17</v>
      </c>
      <c r="F10" s="5">
        <v>35466667</v>
      </c>
      <c r="G10" s="5">
        <v>22698667</v>
      </c>
      <c r="H10" s="5">
        <v>10</v>
      </c>
    </row>
    <row r="11" spans="1:8" x14ac:dyDescent="0.35">
      <c r="A11" s="4" t="s">
        <v>48</v>
      </c>
      <c r="B11" s="4" t="s">
        <v>37</v>
      </c>
      <c r="C11" s="4" t="s">
        <v>38</v>
      </c>
      <c r="D11" s="4" t="s">
        <v>39</v>
      </c>
      <c r="E11" s="4" t="s">
        <v>17</v>
      </c>
      <c r="F11" s="5">
        <v>27200000</v>
      </c>
      <c r="G11" s="5">
        <v>17408000</v>
      </c>
      <c r="H11" s="5">
        <v>10</v>
      </c>
    </row>
    <row r="12" spans="1:8" x14ac:dyDescent="0.35">
      <c r="A12" s="4" t="s">
        <v>48</v>
      </c>
      <c r="B12" s="4" t="s">
        <v>37</v>
      </c>
      <c r="C12" s="4" t="s">
        <v>38</v>
      </c>
      <c r="D12" s="4" t="s">
        <v>39</v>
      </c>
      <c r="E12" s="4" t="s">
        <v>17</v>
      </c>
      <c r="F12" s="5">
        <v>27200000</v>
      </c>
      <c r="G12" s="5">
        <v>17408000</v>
      </c>
      <c r="H12" s="5">
        <v>10</v>
      </c>
    </row>
    <row r="13" spans="1:8" x14ac:dyDescent="0.35">
      <c r="A13" s="4" t="s">
        <v>48</v>
      </c>
      <c r="B13" s="4" t="s">
        <v>37</v>
      </c>
      <c r="C13" s="4" t="s">
        <v>38</v>
      </c>
      <c r="D13" s="4" t="s">
        <v>39</v>
      </c>
      <c r="E13" s="4" t="s">
        <v>17</v>
      </c>
      <c r="F13" s="5">
        <v>27200000</v>
      </c>
      <c r="G13" s="5">
        <v>17408000</v>
      </c>
      <c r="H13" s="5">
        <v>10</v>
      </c>
    </row>
    <row r="14" spans="1:8" x14ac:dyDescent="0.35">
      <c r="A14" s="4" t="s">
        <v>48</v>
      </c>
      <c r="B14" s="4" t="s">
        <v>37</v>
      </c>
      <c r="C14" s="4" t="s">
        <v>38</v>
      </c>
      <c r="D14" s="4" t="s">
        <v>39</v>
      </c>
      <c r="E14" s="4" t="s">
        <v>17</v>
      </c>
      <c r="F14" s="5">
        <v>27200000</v>
      </c>
      <c r="G14" s="5">
        <v>17408000</v>
      </c>
      <c r="H14" s="5">
        <v>10</v>
      </c>
    </row>
    <row r="15" spans="1:8" x14ac:dyDescent="0.35">
      <c r="A15" s="4" t="s">
        <v>48</v>
      </c>
      <c r="B15" s="4" t="s">
        <v>37</v>
      </c>
      <c r="C15" s="4" t="s">
        <v>38</v>
      </c>
      <c r="D15" s="4" t="s">
        <v>39</v>
      </c>
      <c r="E15" s="4" t="s">
        <v>17</v>
      </c>
      <c r="F15" s="5">
        <v>27200000</v>
      </c>
      <c r="G15" s="5">
        <v>17408000</v>
      </c>
      <c r="H15" s="5">
        <v>10</v>
      </c>
    </row>
    <row r="16" spans="1:8" x14ac:dyDescent="0.35">
      <c r="A16" s="4" t="s">
        <v>48</v>
      </c>
      <c r="B16" s="4" t="s">
        <v>37</v>
      </c>
      <c r="C16" s="4" t="s">
        <v>38</v>
      </c>
      <c r="D16" s="4" t="s">
        <v>39</v>
      </c>
      <c r="E16" s="4" t="s">
        <v>17</v>
      </c>
      <c r="F16" s="5">
        <v>28000000</v>
      </c>
      <c r="G16" s="5">
        <v>17920000</v>
      </c>
      <c r="H16" s="5">
        <v>10</v>
      </c>
    </row>
    <row r="17" spans="1:8" x14ac:dyDescent="0.35">
      <c r="A17" s="4" t="s">
        <v>48</v>
      </c>
      <c r="B17" s="4" t="s">
        <v>37</v>
      </c>
      <c r="C17" s="4" t="s">
        <v>38</v>
      </c>
      <c r="D17" s="4" t="s">
        <v>39</v>
      </c>
      <c r="E17" s="4" t="s">
        <v>17</v>
      </c>
      <c r="F17" s="5">
        <v>27200000</v>
      </c>
      <c r="G17" s="5">
        <v>17408000</v>
      </c>
      <c r="H17" s="5">
        <v>10</v>
      </c>
    </row>
    <row r="18" spans="1:8" x14ac:dyDescent="0.35">
      <c r="A18" s="4" t="s">
        <v>52</v>
      </c>
      <c r="B18" s="4" t="s">
        <v>37</v>
      </c>
      <c r="C18" s="4" t="s">
        <v>38</v>
      </c>
      <c r="D18" s="4" t="s">
        <v>39</v>
      </c>
      <c r="E18" s="4" t="s">
        <v>62</v>
      </c>
      <c r="F18" s="5">
        <v>17000000</v>
      </c>
      <c r="G18" s="5">
        <v>51000000</v>
      </c>
      <c r="H18" s="5">
        <v>10</v>
      </c>
    </row>
    <row r="19" spans="1:8" x14ac:dyDescent="0.35">
      <c r="A19" s="4" t="s">
        <v>57</v>
      </c>
      <c r="B19" s="4" t="s">
        <v>37</v>
      </c>
      <c r="C19" s="4" t="s">
        <v>38</v>
      </c>
      <c r="D19" s="4" t="s">
        <v>39</v>
      </c>
      <c r="E19" s="4" t="s">
        <v>13</v>
      </c>
      <c r="F19" s="5">
        <v>108072474</v>
      </c>
      <c r="G19" s="5">
        <v>0</v>
      </c>
      <c r="H19" s="5">
        <v>10</v>
      </c>
    </row>
    <row r="20" spans="1:8" x14ac:dyDescent="0.35">
      <c r="A20" s="4" t="s">
        <v>57</v>
      </c>
      <c r="B20" s="4" t="s">
        <v>37</v>
      </c>
      <c r="C20" s="4" t="s">
        <v>38</v>
      </c>
      <c r="D20" s="4" t="s">
        <v>39</v>
      </c>
      <c r="E20" s="4" t="s">
        <v>13</v>
      </c>
      <c r="F20" s="5">
        <v>63291162</v>
      </c>
      <c r="G20" s="5">
        <v>0</v>
      </c>
      <c r="H20" s="5">
        <v>10</v>
      </c>
    </row>
    <row r="21" spans="1:8" x14ac:dyDescent="0.35">
      <c r="G21" s="6">
        <f>SUM(G2:G20)</f>
        <v>241019424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Sheet2!ExternalData_1</vt:lpstr>
      <vt:lpstr>Sheet1!sheet1</vt:lpstr>
      <vt:lpstr>Sheet1!sheet1_1</vt:lpstr>
      <vt:lpstr>Sheet2!sheet2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2025-05-14T10:46:27Z</dcterms:modified>
</cp:coreProperties>
</file>