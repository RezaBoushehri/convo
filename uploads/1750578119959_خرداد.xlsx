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15345" windowHeight="4560"/>
  </bookViews>
  <sheets>
    <sheet name="Sheet1" sheetId="1" r:id="rId1"/>
    <sheet name="Sheet5" sheetId="5" r:id="rId2"/>
    <sheet name="Sheet2" sheetId="6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6" l="1"/>
  <c r="F3" i="6" s="1"/>
  <c r="G3" i="6" s="1"/>
  <c r="E2" i="6"/>
  <c r="F2" i="6" s="1"/>
  <c r="G2" i="6" s="1"/>
</calcChain>
</file>

<file path=xl/sharedStrings.xml><?xml version="1.0" encoding="utf-8"?>
<sst xmlns="http://schemas.openxmlformats.org/spreadsheetml/2006/main" count="218" uniqueCount="91">
  <si>
    <t>حسابداری محترم شرکت فراهوش خواهشمند است مبالغ ذیل را در حساب شخص/نماینده لحاظ فرمایید.</t>
  </si>
  <si>
    <t>نام نماینده/شخص</t>
  </si>
  <si>
    <t>تسک</t>
  </si>
  <si>
    <t>مبلغ (ریال)</t>
  </si>
  <si>
    <t>اضافه شود/کسر گردد</t>
  </si>
  <si>
    <t>تاریخ</t>
  </si>
  <si>
    <t>بابت</t>
  </si>
  <si>
    <t>کسر گردد</t>
  </si>
  <si>
    <t>اضافه شود</t>
  </si>
  <si>
    <t>شیرازی</t>
  </si>
  <si>
    <t>شارژ  یوزرهای گیفت</t>
  </si>
  <si>
    <t>انصاری منش</t>
  </si>
  <si>
    <t>اجاره دکل ظفراباد</t>
  </si>
  <si>
    <t>اضافه گردد</t>
  </si>
  <si>
    <t>بابت استفاده از دکل اقای زارعی</t>
  </si>
  <si>
    <t>نام شخص</t>
  </si>
  <si>
    <t>کمالی</t>
  </si>
  <si>
    <t>خواجه</t>
  </si>
  <si>
    <t>ایران مدار</t>
  </si>
  <si>
    <t>تاریخ شروع</t>
  </si>
  <si>
    <t>سازمان</t>
  </si>
  <si>
    <t>1403-03-01</t>
  </si>
  <si>
    <t>مبلغ قرارداد-تومان</t>
  </si>
  <si>
    <t>مبلغی که اقای بوشهری اعلام کرده-تومان</t>
  </si>
  <si>
    <t>ما به التفاوت</t>
  </si>
  <si>
    <t>پورسانت بقیه سازمانها به جز ایران مدار</t>
  </si>
  <si>
    <t>صمت-mpls</t>
  </si>
  <si>
    <t>بعد از کسر 5 و 3 درصد(ضربدر 0.92)</t>
  </si>
  <si>
    <r>
      <t>تقسیم به 4-</t>
    </r>
    <r>
      <rPr>
        <sz val="11"/>
        <color rgb="FFFF0000"/>
        <rFont val="Calibri"/>
        <family val="2"/>
        <scheme val="minor"/>
      </rPr>
      <t>تومان</t>
    </r>
  </si>
  <si>
    <t>1403-07-01</t>
  </si>
  <si>
    <t>منهای mpls صمت</t>
  </si>
  <si>
    <t>مجموع</t>
  </si>
  <si>
    <t>1403-08-30</t>
  </si>
  <si>
    <t>پورسانت ابان ماه از : اینترانت اداره توزیع برق شیراز،mpls صنعت و معدن، اینترنت صنعت و معدن،اینترنت توزیع برق شیراز و ایران مدار</t>
  </si>
  <si>
    <t>علی اصغر زارعی</t>
  </si>
  <si>
    <t>سکوتی</t>
  </si>
  <si>
    <t>بستانکاری مشترک 166423</t>
  </si>
  <si>
    <t>علی اکبر روستا</t>
  </si>
  <si>
    <t>فرحناز شیرازی</t>
  </si>
  <si>
    <t>علی رضا زاهدی</t>
  </si>
  <si>
    <t>حسینیان نسب</t>
  </si>
  <si>
    <t>بستانکاری مشترک 136950</t>
  </si>
  <si>
    <t>1404-03-04</t>
  </si>
  <si>
    <t>بستانکاری مشترک 124957</t>
  </si>
  <si>
    <t>بستانکاری مشترک 124958</t>
  </si>
  <si>
    <t>شارژ یوزر گیفت روستا 128938</t>
  </si>
  <si>
    <t>رجایی</t>
  </si>
  <si>
    <t>حسن زاده</t>
  </si>
  <si>
    <t xml:space="preserve">بستانکاری مشترک 148998 </t>
  </si>
  <si>
    <t>1404-03-07</t>
  </si>
  <si>
    <t>بستانکاری مشترک 170875</t>
  </si>
  <si>
    <t>برگشت وجه اشتراک 177572</t>
  </si>
  <si>
    <t>1404-03-08</t>
  </si>
  <si>
    <t>بهاری</t>
  </si>
  <si>
    <t>1404-03-10</t>
  </si>
  <si>
    <t>اضافه کردن زمان به مشترک 164936</t>
  </si>
  <si>
    <t>محسن یوسفی</t>
  </si>
  <si>
    <t>شارژ یوزر گیفت روستا 67639</t>
  </si>
  <si>
    <t>بستانکاری اشتراک 133317</t>
  </si>
  <si>
    <t>ارغوان گودرزی</t>
  </si>
  <si>
    <t>فروغی</t>
  </si>
  <si>
    <t>رفیعی</t>
  </si>
  <si>
    <t>بستانکاری اشتراک 150366</t>
  </si>
  <si>
    <t>1404-03-11</t>
  </si>
  <si>
    <t>برگشت وجه اشتراک 77682</t>
  </si>
  <si>
    <t>برگشت وجه اشتراک 124957</t>
  </si>
  <si>
    <t>محمد هوشیار</t>
  </si>
  <si>
    <t>1404-03-17</t>
  </si>
  <si>
    <t>بستانکاری اشتراک 154018</t>
  </si>
  <si>
    <t>بستانکاری اشتراک 149543</t>
  </si>
  <si>
    <t>بستانکاری اشتراک 142996</t>
  </si>
  <si>
    <t>1404-03-18</t>
  </si>
  <si>
    <t>گیفت روستا  کد اشتراک 128938</t>
  </si>
  <si>
    <t>1404-03-20</t>
  </si>
  <si>
    <t>برگشت وجه اشتراک 182220</t>
  </si>
  <si>
    <t>محمد هوشمند</t>
  </si>
  <si>
    <t>1404-03-21</t>
  </si>
  <si>
    <t>بستانکاری اشتراک 166711</t>
  </si>
  <si>
    <t>محمد امین خسروی</t>
  </si>
  <si>
    <t>1404-03-27</t>
  </si>
  <si>
    <t>انتقال اشتراک 142597</t>
  </si>
  <si>
    <t>غلام دهقان</t>
  </si>
  <si>
    <t>1404-03-28</t>
  </si>
  <si>
    <t>برگشت وجه اشتراک 133795</t>
  </si>
  <si>
    <t>1404-03-29</t>
  </si>
  <si>
    <t>1404-03-31</t>
  </si>
  <si>
    <t>پورسانت از پنل محمدی سعادت شهر از تاریخ 08-03-1404 تا پایان ماه</t>
  </si>
  <si>
    <t>کسر پورسانت پنل گرم اباد چراغی</t>
  </si>
  <si>
    <t>وصال</t>
  </si>
  <si>
    <t>هزینه ارسال فاکتور</t>
  </si>
  <si>
    <t>هزینه ای پی اشتراک های 77614و86038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</si>
</sst>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B Yekan"/>
      <charset val="178"/>
    </font>
    <font>
      <sz val="10"/>
      <color theme="1"/>
      <name val="B Yekan"/>
      <charset val="178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 "/>
    </font>
    <font>
      <sz val="9"/>
      <color theme="1"/>
      <name val="B Yekan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6">
    <xf numFmtId="0" fontId="0" fillId="0" borderId="0" xfId="0"/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readingOrder="2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 wrapText="1"/>
    </xf>
    <xf numFmtId="0" fontId="0" fillId="0" borderId="1" xfId="0" applyBorder="1"/>
    <xf numFmtId="164" fontId="4" fillId="0" borderId="1" xfId="1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0" fillId="0" borderId="0" xfId="0" applyAlignment="1">
      <alignment wrapText="1"/>
    </xf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right"/>
    </xf>
    <xf numFmtId="164" fontId="0" fillId="0" borderId="0" xfId="1" applyNumberFormat="1" applyFont="1"/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0" xfId="0" applyNumberFormat="1"/>
    <xf numFmtId="0" fontId="0" fillId="0" borderId="0" xfId="0" applyBorder="1"/>
    <xf numFmtId="164" fontId="0" fillId="0" borderId="0" xfId="1" applyNumberFormat="1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2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4" xfId="0" applyFont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center" vertical="center"/>
    </xf>
    <xf numFmtId="0" fontId="0" fillId="0" borderId="3" xfId="0" applyFont="1" applyBorder="1" applyAlignment="1">
      <alignment horizontal="center" wrapText="1"/>
    </xf>
    <xf numFmtId="0" fontId="0" fillId="0" borderId="4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rightToLeft="1" tabSelected="1" workbookViewId="0">
      <selection activeCell="B55" sqref="B55"/>
    </sheetView>
  </sheetViews>
  <sheetFormatPr defaultRowHeight="15.75"/>
  <cols>
    <col min="1" max="1" width="17.7109375" style="28" customWidth="1"/>
    <col min="2" max="2" width="14.140625" style="29" customWidth="1"/>
    <col min="3" max="3" width="14" style="36" customWidth="1"/>
    <col min="4" max="4" width="12.5703125" style="28" customWidth="1"/>
    <col min="5" max="5" width="15.140625" style="28" customWidth="1"/>
    <col min="6" max="6" width="52.7109375" style="30" customWidth="1"/>
    <col min="7" max="7" width="31" customWidth="1"/>
    <col min="8" max="8" width="22.85546875" customWidth="1"/>
    <col min="9" max="9" width="22.28515625" customWidth="1"/>
  </cols>
  <sheetData>
    <row r="1" spans="1:6" ht="15">
      <c r="A1" s="43" t="s">
        <v>0</v>
      </c>
      <c r="B1" s="43"/>
      <c r="C1" s="43"/>
      <c r="D1" s="43"/>
      <c r="E1" s="43"/>
      <c r="F1" s="43"/>
    </row>
    <row r="2" spans="1:6" ht="15">
      <c r="A2" s="43"/>
      <c r="B2" s="43"/>
      <c r="C2" s="43"/>
      <c r="D2" s="43"/>
      <c r="E2" s="43"/>
      <c r="F2" s="43"/>
    </row>
    <row r="3" spans="1:6" ht="25.5">
      <c r="A3" s="19" t="s">
        <v>1</v>
      </c>
      <c r="B3" s="19" t="s">
        <v>2</v>
      </c>
      <c r="C3" s="35" t="s">
        <v>3</v>
      </c>
      <c r="D3" s="20" t="s">
        <v>4</v>
      </c>
      <c r="E3" s="19" t="s">
        <v>5</v>
      </c>
      <c r="F3" s="21" t="s">
        <v>6</v>
      </c>
    </row>
    <row r="4" spans="1:6" ht="15">
      <c r="A4" s="22" t="s">
        <v>38</v>
      </c>
      <c r="B4" s="23">
        <v>150245</v>
      </c>
      <c r="C4" s="39">
        <v>12345</v>
      </c>
      <c r="D4" s="24" t="s">
        <v>8</v>
      </c>
      <c r="E4" s="23" t="s">
        <v>42</v>
      </c>
      <c r="F4" s="40" t="s">
        <v>41</v>
      </c>
    </row>
    <row r="5" spans="1:6" ht="15">
      <c r="A5" s="25" t="s">
        <v>37</v>
      </c>
      <c r="B5" s="23">
        <v>150245</v>
      </c>
      <c r="C5" s="39">
        <v>308636</v>
      </c>
      <c r="D5" s="24" t="s">
        <v>8</v>
      </c>
      <c r="E5" s="23" t="s">
        <v>42</v>
      </c>
      <c r="F5" s="34" t="s">
        <v>41</v>
      </c>
    </row>
    <row r="6" spans="1:6" ht="15">
      <c r="A6" s="25" t="s">
        <v>39</v>
      </c>
      <c r="B6" s="23">
        <v>150245</v>
      </c>
      <c r="C6" s="39">
        <v>31745</v>
      </c>
      <c r="D6" s="24" t="s">
        <v>8</v>
      </c>
      <c r="E6" s="23" t="s">
        <v>42</v>
      </c>
      <c r="F6" s="34" t="s">
        <v>41</v>
      </c>
    </row>
    <row r="7" spans="1:6" ht="15">
      <c r="A7" s="26" t="s">
        <v>40</v>
      </c>
      <c r="B7" s="23">
        <v>150245</v>
      </c>
      <c r="C7" s="39">
        <v>88182</v>
      </c>
      <c r="D7" s="24" t="s">
        <v>8</v>
      </c>
      <c r="E7" s="23" t="s">
        <v>42</v>
      </c>
      <c r="F7" s="34" t="s">
        <v>41</v>
      </c>
    </row>
    <row r="8" spans="1:6" ht="15">
      <c r="A8" s="26" t="s">
        <v>35</v>
      </c>
      <c r="B8" s="23">
        <v>150240</v>
      </c>
      <c r="C8" s="39">
        <v>35202</v>
      </c>
      <c r="D8" s="24" t="s">
        <v>8</v>
      </c>
      <c r="E8" s="23" t="s">
        <v>42</v>
      </c>
      <c r="F8" s="34" t="s">
        <v>36</v>
      </c>
    </row>
    <row r="9" spans="1:6" ht="15">
      <c r="A9" s="25" t="s">
        <v>37</v>
      </c>
      <c r="B9" s="23">
        <v>150182</v>
      </c>
      <c r="C9" s="39">
        <v>11750183</v>
      </c>
      <c r="D9" s="24" t="s">
        <v>8</v>
      </c>
      <c r="E9" s="23" t="s">
        <v>42</v>
      </c>
      <c r="F9" s="34" t="s">
        <v>43</v>
      </c>
    </row>
    <row r="10" spans="1:6" ht="15">
      <c r="A10" s="25" t="s">
        <v>39</v>
      </c>
      <c r="B10" s="23">
        <v>150182</v>
      </c>
      <c r="C10" s="39">
        <v>940015</v>
      </c>
      <c r="D10" s="24" t="s">
        <v>8</v>
      </c>
      <c r="E10" s="23" t="s">
        <v>42</v>
      </c>
      <c r="F10" s="34" t="s">
        <v>44</v>
      </c>
    </row>
    <row r="11" spans="1:6" ht="15">
      <c r="A11" s="26" t="s">
        <v>9</v>
      </c>
      <c r="B11" s="23">
        <v>150285</v>
      </c>
      <c r="C11" s="39">
        <v>496900</v>
      </c>
      <c r="D11" s="24" t="s">
        <v>7</v>
      </c>
      <c r="E11" s="23" t="s">
        <v>42</v>
      </c>
      <c r="F11" s="34" t="s">
        <v>45</v>
      </c>
    </row>
    <row r="12" spans="1:6" ht="15">
      <c r="A12" s="26" t="s">
        <v>46</v>
      </c>
      <c r="B12" s="23">
        <v>150296</v>
      </c>
      <c r="C12" s="39">
        <v>291732</v>
      </c>
      <c r="D12" s="24" t="s">
        <v>8</v>
      </c>
      <c r="E12" s="23" t="s">
        <v>42</v>
      </c>
      <c r="F12" s="34" t="s">
        <v>48</v>
      </c>
    </row>
    <row r="13" spans="1:6" ht="15">
      <c r="A13" s="26" t="s">
        <v>47</v>
      </c>
      <c r="B13" s="23">
        <v>150296</v>
      </c>
      <c r="C13" s="39">
        <v>34896</v>
      </c>
      <c r="D13" s="24" t="s">
        <v>8</v>
      </c>
      <c r="E13" s="23" t="s">
        <v>42</v>
      </c>
      <c r="F13" s="34" t="s">
        <v>48</v>
      </c>
    </row>
    <row r="14" spans="1:6" ht="15">
      <c r="A14" s="22" t="s">
        <v>38</v>
      </c>
      <c r="B14" s="23">
        <v>150326</v>
      </c>
      <c r="C14" s="39">
        <v>24691</v>
      </c>
      <c r="D14" s="24" t="s">
        <v>8</v>
      </c>
      <c r="E14" s="23" t="s">
        <v>49</v>
      </c>
      <c r="F14" s="34" t="s">
        <v>50</v>
      </c>
    </row>
    <row r="15" spans="1:6" ht="15">
      <c r="A15" s="25" t="s">
        <v>37</v>
      </c>
      <c r="B15" s="23">
        <v>150326</v>
      </c>
      <c r="C15" s="39">
        <v>793636</v>
      </c>
      <c r="D15" s="24" t="s">
        <v>8</v>
      </c>
      <c r="E15" s="23" t="s">
        <v>49</v>
      </c>
      <c r="F15" s="34" t="s">
        <v>50</v>
      </c>
    </row>
    <row r="16" spans="1:6" ht="15">
      <c r="A16" s="25" t="s">
        <v>39</v>
      </c>
      <c r="B16" s="23">
        <v>150326</v>
      </c>
      <c r="C16" s="39">
        <v>63491</v>
      </c>
      <c r="D16" s="24" t="s">
        <v>8</v>
      </c>
      <c r="E16" s="23" t="s">
        <v>49</v>
      </c>
      <c r="F16" s="34" t="s">
        <v>50</v>
      </c>
    </row>
    <row r="17" spans="1:6" ht="15">
      <c r="A17" s="22" t="s">
        <v>56</v>
      </c>
      <c r="B17" s="23">
        <v>150302</v>
      </c>
      <c r="C17" s="39">
        <v>801705</v>
      </c>
      <c r="D17" s="24" t="s">
        <v>7</v>
      </c>
      <c r="E17" s="23" t="s">
        <v>52</v>
      </c>
      <c r="F17" s="34" t="s">
        <v>51</v>
      </c>
    </row>
    <row r="18" spans="1:6" ht="18.75" customHeight="1">
      <c r="A18" s="25" t="s">
        <v>53</v>
      </c>
      <c r="B18" s="27">
        <v>150412</v>
      </c>
      <c r="C18" s="37">
        <v>24000</v>
      </c>
      <c r="D18" s="24" t="s">
        <v>7</v>
      </c>
      <c r="E18" s="23" t="s">
        <v>54</v>
      </c>
      <c r="F18" s="34" t="s">
        <v>55</v>
      </c>
    </row>
    <row r="19" spans="1:6" ht="18.75" customHeight="1">
      <c r="A19" s="25" t="s">
        <v>9</v>
      </c>
      <c r="B19" s="27">
        <v>150387</v>
      </c>
      <c r="C19" s="38">
        <v>726000</v>
      </c>
      <c r="D19" s="24" t="s">
        <v>7</v>
      </c>
      <c r="E19" s="23" t="s">
        <v>54</v>
      </c>
      <c r="F19" s="34" t="s">
        <v>57</v>
      </c>
    </row>
    <row r="20" spans="1:6" ht="18.75" customHeight="1">
      <c r="A20" s="25" t="s">
        <v>59</v>
      </c>
      <c r="B20" s="27">
        <v>150378</v>
      </c>
      <c r="C20" s="39">
        <v>705455</v>
      </c>
      <c r="D20" s="24" t="s">
        <v>8</v>
      </c>
      <c r="E20" s="23" t="s">
        <v>54</v>
      </c>
      <c r="F20" s="34" t="s">
        <v>58</v>
      </c>
    </row>
    <row r="21" spans="1:6" ht="18.75" customHeight="1">
      <c r="A21" s="25" t="s">
        <v>60</v>
      </c>
      <c r="B21" s="27">
        <v>150405</v>
      </c>
      <c r="C21" s="39">
        <v>54320</v>
      </c>
      <c r="D21" s="24" t="s">
        <v>8</v>
      </c>
      <c r="E21" s="23" t="s">
        <v>54</v>
      </c>
      <c r="F21" s="34" t="s">
        <v>62</v>
      </c>
    </row>
    <row r="22" spans="1:6" ht="18.75" customHeight="1">
      <c r="A22" s="25" t="s">
        <v>61</v>
      </c>
      <c r="B22" s="27">
        <v>150405</v>
      </c>
      <c r="C22" s="39">
        <v>23280</v>
      </c>
      <c r="D22" s="24" t="s">
        <v>8</v>
      </c>
      <c r="E22" s="23" t="s">
        <v>54</v>
      </c>
      <c r="F22" s="34" t="s">
        <v>62</v>
      </c>
    </row>
    <row r="23" spans="1:6" ht="18.75" customHeight="1">
      <c r="A23" s="25" t="s">
        <v>9</v>
      </c>
      <c r="B23" s="27">
        <v>150439</v>
      </c>
      <c r="C23" s="39">
        <v>121832</v>
      </c>
      <c r="D23" s="24" t="s">
        <v>7</v>
      </c>
      <c r="E23" s="23" t="s">
        <v>63</v>
      </c>
      <c r="F23" s="34" t="s">
        <v>64</v>
      </c>
    </row>
    <row r="24" spans="1:6" ht="18.75" customHeight="1">
      <c r="A24" s="22" t="s">
        <v>38</v>
      </c>
      <c r="B24" s="27">
        <v>150375</v>
      </c>
      <c r="C24" s="39">
        <v>365561</v>
      </c>
      <c r="D24" s="24" t="s">
        <v>7</v>
      </c>
      <c r="E24" s="23" t="s">
        <v>63</v>
      </c>
      <c r="F24" s="34" t="s">
        <v>65</v>
      </c>
    </row>
    <row r="25" spans="1:6" ht="18.75" customHeight="1">
      <c r="A25" s="25" t="s">
        <v>37</v>
      </c>
      <c r="B25" s="27">
        <v>150375</v>
      </c>
      <c r="C25" s="39">
        <v>11750183</v>
      </c>
      <c r="D25" s="24" t="s">
        <v>7</v>
      </c>
      <c r="E25" s="23" t="s">
        <v>63</v>
      </c>
      <c r="F25" s="34" t="s">
        <v>65</v>
      </c>
    </row>
    <row r="26" spans="1:6" ht="18.75" customHeight="1">
      <c r="A26" s="25" t="s">
        <v>39</v>
      </c>
      <c r="B26" s="27">
        <v>150375</v>
      </c>
      <c r="C26" s="39">
        <v>940015</v>
      </c>
      <c r="D26" s="24" t="s">
        <v>7</v>
      </c>
      <c r="E26" s="23" t="s">
        <v>63</v>
      </c>
      <c r="F26" s="34" t="s">
        <v>65</v>
      </c>
    </row>
    <row r="27" spans="1:6" ht="18.75" customHeight="1">
      <c r="A27" s="25" t="s">
        <v>66</v>
      </c>
      <c r="B27" s="27">
        <v>150523</v>
      </c>
      <c r="C27" s="39">
        <v>115624</v>
      </c>
      <c r="D27" s="24" t="s">
        <v>8</v>
      </c>
      <c r="E27" s="23" t="s">
        <v>67</v>
      </c>
      <c r="F27" s="34" t="s">
        <v>68</v>
      </c>
    </row>
    <row r="28" spans="1:6" ht="18.75" customHeight="1">
      <c r="A28" s="25" t="s">
        <v>60</v>
      </c>
      <c r="B28" s="27">
        <v>150523</v>
      </c>
      <c r="C28" s="39">
        <v>462496</v>
      </c>
      <c r="D28" s="24" t="s">
        <v>8</v>
      </c>
      <c r="E28" s="23" t="s">
        <v>67</v>
      </c>
      <c r="F28" s="34" t="s">
        <v>68</v>
      </c>
    </row>
    <row r="29" spans="1:6" ht="18.75" customHeight="1">
      <c r="A29" s="25" t="s">
        <v>60</v>
      </c>
      <c r="B29" s="27">
        <v>150550</v>
      </c>
      <c r="C29" s="39">
        <v>43333</v>
      </c>
      <c r="D29" s="24" t="s">
        <v>8</v>
      </c>
      <c r="E29" s="23" t="s">
        <v>67</v>
      </c>
      <c r="F29" s="34" t="s">
        <v>69</v>
      </c>
    </row>
    <row r="30" spans="1:6" ht="18.75" customHeight="1">
      <c r="A30" s="25" t="s">
        <v>61</v>
      </c>
      <c r="B30" s="27">
        <v>150550</v>
      </c>
      <c r="C30" s="39">
        <v>18571</v>
      </c>
      <c r="D30" s="24" t="s">
        <v>8</v>
      </c>
      <c r="E30" s="23" t="s">
        <v>67</v>
      </c>
      <c r="F30" s="34" t="s">
        <v>69</v>
      </c>
    </row>
    <row r="31" spans="1:6" ht="18.75" customHeight="1">
      <c r="A31" s="26" t="s">
        <v>46</v>
      </c>
      <c r="B31" s="27">
        <v>150533</v>
      </c>
      <c r="C31" s="39">
        <v>62397</v>
      </c>
      <c r="D31" s="24" t="s">
        <v>8</v>
      </c>
      <c r="E31" s="23" t="s">
        <v>67</v>
      </c>
      <c r="F31" s="34" t="s">
        <v>70</v>
      </c>
    </row>
    <row r="32" spans="1:6" ht="18.75" customHeight="1">
      <c r="A32" s="26" t="s">
        <v>47</v>
      </c>
      <c r="B32" s="27">
        <v>150533</v>
      </c>
      <c r="C32" s="39">
        <v>7464</v>
      </c>
      <c r="D32" s="24" t="s">
        <v>8</v>
      </c>
      <c r="E32" s="23" t="s">
        <v>67</v>
      </c>
      <c r="F32" s="34" t="s">
        <v>70</v>
      </c>
    </row>
    <row r="33" spans="1:6" ht="18.75" customHeight="1">
      <c r="A33" s="25" t="s">
        <v>9</v>
      </c>
      <c r="B33" s="27">
        <v>150577</v>
      </c>
      <c r="C33" s="39">
        <v>909700</v>
      </c>
      <c r="D33" s="24" t="s">
        <v>7</v>
      </c>
      <c r="E33" s="23" t="s">
        <v>71</v>
      </c>
      <c r="F33" s="34" t="s">
        <v>72</v>
      </c>
    </row>
    <row r="34" spans="1:6" ht="18.75" customHeight="1">
      <c r="A34" s="25" t="s">
        <v>75</v>
      </c>
      <c r="B34" s="27">
        <v>150591</v>
      </c>
      <c r="C34" s="39">
        <v>189926</v>
      </c>
      <c r="D34" s="24" t="s">
        <v>7</v>
      </c>
      <c r="E34" s="23" t="s">
        <v>73</v>
      </c>
      <c r="F34" s="34" t="s">
        <v>74</v>
      </c>
    </row>
    <row r="35" spans="1:6" ht="18.75" customHeight="1">
      <c r="A35" s="25" t="s">
        <v>46</v>
      </c>
      <c r="B35" s="27">
        <v>150667</v>
      </c>
      <c r="C35" s="39">
        <v>97016</v>
      </c>
      <c r="D35" s="24" t="s">
        <v>8</v>
      </c>
      <c r="E35" s="23" t="s">
        <v>76</v>
      </c>
      <c r="F35" s="41" t="s">
        <v>77</v>
      </c>
    </row>
    <row r="36" spans="1:6" ht="18.75" customHeight="1">
      <c r="A36" s="25" t="s">
        <v>47</v>
      </c>
      <c r="B36" s="27">
        <v>150667</v>
      </c>
      <c r="C36" s="39">
        <v>11605</v>
      </c>
      <c r="D36" s="24" t="s">
        <v>8</v>
      </c>
      <c r="E36" s="23" t="s">
        <v>76</v>
      </c>
      <c r="F36" s="34" t="s">
        <v>77</v>
      </c>
    </row>
    <row r="37" spans="1:6" ht="18.75" customHeight="1">
      <c r="A37" s="25" t="s">
        <v>78</v>
      </c>
      <c r="B37" s="27">
        <v>150781</v>
      </c>
      <c r="C37" s="39">
        <v>385680</v>
      </c>
      <c r="D37" s="24" t="s">
        <v>7</v>
      </c>
      <c r="E37" s="23" t="s">
        <v>79</v>
      </c>
      <c r="F37" s="34" t="s">
        <v>80</v>
      </c>
    </row>
    <row r="38" spans="1:6" ht="18.75" customHeight="1">
      <c r="A38" s="25" t="s">
        <v>56</v>
      </c>
      <c r="B38" s="27">
        <v>150781</v>
      </c>
      <c r="C38" s="39">
        <v>289250</v>
      </c>
      <c r="D38" s="24" t="s">
        <v>8</v>
      </c>
      <c r="E38" s="23" t="s">
        <v>79</v>
      </c>
      <c r="F38" s="34" t="s">
        <v>80</v>
      </c>
    </row>
    <row r="39" spans="1:6" ht="18.75" customHeight="1">
      <c r="A39" s="25" t="s">
        <v>9</v>
      </c>
      <c r="B39" s="27">
        <v>150774</v>
      </c>
      <c r="C39" s="39">
        <v>352000</v>
      </c>
      <c r="D39" s="24" t="s">
        <v>7</v>
      </c>
      <c r="E39" s="23" t="s">
        <v>79</v>
      </c>
      <c r="F39" s="34" t="s">
        <v>72</v>
      </c>
    </row>
    <row r="40" spans="1:6" ht="18.75" customHeight="1">
      <c r="A40" s="25" t="s">
        <v>9</v>
      </c>
      <c r="B40" s="27">
        <v>150799</v>
      </c>
      <c r="C40" s="39">
        <v>3947512</v>
      </c>
      <c r="D40" s="24" t="s">
        <v>7</v>
      </c>
      <c r="E40" s="23" t="s">
        <v>82</v>
      </c>
      <c r="F40" s="34" t="s">
        <v>83</v>
      </c>
    </row>
    <row r="41" spans="1:6" ht="18.75" customHeight="1">
      <c r="A41" s="25" t="s">
        <v>81</v>
      </c>
      <c r="B41" s="27">
        <v>150799</v>
      </c>
      <c r="C41" s="39">
        <v>5921268</v>
      </c>
      <c r="D41" s="24" t="s">
        <v>7</v>
      </c>
      <c r="E41" s="23" t="s">
        <v>82</v>
      </c>
      <c r="F41" s="34" t="s">
        <v>83</v>
      </c>
    </row>
    <row r="42" spans="1:6" ht="18.75" customHeight="1">
      <c r="A42" s="25" t="s">
        <v>9</v>
      </c>
      <c r="B42" s="27">
        <v>150801</v>
      </c>
      <c r="C42" s="39">
        <v>7277600</v>
      </c>
      <c r="D42" s="24" t="s">
        <v>7</v>
      </c>
      <c r="E42" s="23" t="s">
        <v>84</v>
      </c>
      <c r="F42" s="34" t="s">
        <v>72</v>
      </c>
    </row>
    <row r="43" spans="1:6" ht="18.75" customHeight="1">
      <c r="A43" s="25" t="s">
        <v>9</v>
      </c>
      <c r="B43" s="27">
        <v>150883</v>
      </c>
      <c r="C43" s="39">
        <v>8021248</v>
      </c>
      <c r="D43" s="24" t="s">
        <v>13</v>
      </c>
      <c r="E43" s="23" t="s">
        <v>85</v>
      </c>
      <c r="F43" s="34" t="s">
        <v>86</v>
      </c>
    </row>
    <row r="44" spans="1:6" ht="18.75" customHeight="1">
      <c r="A44" s="25" t="s">
        <v>9</v>
      </c>
      <c r="B44" s="27">
        <v>150883</v>
      </c>
      <c r="C44" s="39">
        <v>121832</v>
      </c>
      <c r="D44" s="24" t="s">
        <v>7</v>
      </c>
      <c r="E44" s="23" t="s">
        <v>85</v>
      </c>
      <c r="F44" s="34" t="s">
        <v>87</v>
      </c>
    </row>
    <row r="45" spans="1:6" ht="18.75" customHeight="1">
      <c r="A45" s="31" t="s">
        <v>11</v>
      </c>
      <c r="B45" s="32">
        <v>150883</v>
      </c>
      <c r="C45" s="38">
        <v>6776334</v>
      </c>
      <c r="D45" s="33" t="s">
        <v>8</v>
      </c>
      <c r="E45" s="23" t="s">
        <v>85</v>
      </c>
      <c r="F45" s="42" t="s">
        <v>12</v>
      </c>
    </row>
    <row r="46" spans="1:6" ht="18.75" customHeight="1">
      <c r="A46" s="32" t="s">
        <v>9</v>
      </c>
      <c r="B46" s="32">
        <v>150883</v>
      </c>
      <c r="C46" s="38">
        <v>38400000</v>
      </c>
      <c r="D46" s="33" t="s">
        <v>7</v>
      </c>
      <c r="E46" s="23" t="s">
        <v>85</v>
      </c>
      <c r="F46" s="42" t="s">
        <v>10</v>
      </c>
    </row>
    <row r="47" spans="1:6" ht="18.75" customHeight="1">
      <c r="A47" s="32" t="s">
        <v>34</v>
      </c>
      <c r="B47" s="32">
        <v>101494</v>
      </c>
      <c r="C47" s="38">
        <v>500000</v>
      </c>
      <c r="D47" s="33" t="s">
        <v>13</v>
      </c>
      <c r="E47" s="23" t="s">
        <v>85</v>
      </c>
      <c r="F47" s="42" t="s">
        <v>14</v>
      </c>
    </row>
    <row r="48" spans="1:6" ht="18.75" customHeight="1">
      <c r="A48" s="32" t="s">
        <v>88</v>
      </c>
      <c r="B48" s="32">
        <v>150883</v>
      </c>
      <c r="C48" s="38">
        <v>500000</v>
      </c>
      <c r="D48" s="33" t="s">
        <v>7</v>
      </c>
      <c r="E48" s="23" t="s">
        <v>85</v>
      </c>
      <c r="F48" s="42" t="s">
        <v>89</v>
      </c>
    </row>
    <row r="49" spans="1:6" ht="18.75" customHeight="1">
      <c r="A49" s="32" t="s">
        <v>9</v>
      </c>
      <c r="B49" s="32">
        <v>150883</v>
      </c>
      <c r="C49" s="38">
        <v>1800000</v>
      </c>
      <c r="D49" s="33" t="s">
        <v>7</v>
      </c>
      <c r="E49" s="23" t="s">
        <v>85</v>
      </c>
      <c r="F49" s="42" t="s">
        <v>90</v>
      </c>
    </row>
  </sheetData>
  <mergeCells count="1">
    <mergeCell ref="A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rightToLeft="1" workbookViewId="0">
      <selection activeCell="E17" sqref="E17"/>
    </sheetView>
  </sheetViews>
  <sheetFormatPr defaultRowHeight="15"/>
  <cols>
    <col min="2" max="2" width="13.7109375" customWidth="1"/>
    <col min="3" max="3" width="13.140625" customWidth="1"/>
    <col min="4" max="4" width="17.140625" customWidth="1"/>
    <col min="5" max="5" width="74.140625" customWidth="1"/>
  </cols>
  <sheetData>
    <row r="1" spans="1:5">
      <c r="A1" s="43" t="s">
        <v>0</v>
      </c>
      <c r="B1" s="43"/>
      <c r="C1" s="43"/>
      <c r="D1" s="43"/>
      <c r="E1" s="43"/>
    </row>
    <row r="2" spans="1:5">
      <c r="A2" s="43"/>
      <c r="B2" s="43"/>
      <c r="C2" s="43"/>
      <c r="D2" s="43"/>
      <c r="E2" s="43"/>
    </row>
    <row r="3" spans="1:5" ht="17.25">
      <c r="A3" s="2" t="s">
        <v>15</v>
      </c>
      <c r="B3" s="1" t="s">
        <v>3</v>
      </c>
      <c r="C3" s="3" t="s">
        <v>8</v>
      </c>
      <c r="D3" s="2" t="s">
        <v>5</v>
      </c>
      <c r="E3" s="4" t="s">
        <v>6</v>
      </c>
    </row>
    <row r="4" spans="1:5" ht="17.25">
      <c r="A4" s="5" t="s">
        <v>16</v>
      </c>
      <c r="B4" s="8">
        <v>27038510</v>
      </c>
      <c r="C4" s="6" t="s">
        <v>8</v>
      </c>
      <c r="D4" s="5" t="s">
        <v>32</v>
      </c>
      <c r="E4" s="44" t="s">
        <v>33</v>
      </c>
    </row>
    <row r="5" spans="1:5" ht="17.25">
      <c r="A5" s="5" t="s">
        <v>17</v>
      </c>
      <c r="B5" s="9">
        <v>27038510</v>
      </c>
      <c r="C5" s="6" t="s">
        <v>8</v>
      </c>
      <c r="D5" s="5" t="s">
        <v>32</v>
      </c>
      <c r="E5" s="45"/>
    </row>
  </sheetData>
  <mergeCells count="2">
    <mergeCell ref="A1:E2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rightToLeft="1" zoomScaleNormal="100" workbookViewId="0">
      <selection activeCell="B19" sqref="B19"/>
    </sheetView>
  </sheetViews>
  <sheetFormatPr defaultRowHeight="15"/>
  <cols>
    <col min="1" max="1" width="22.5703125" customWidth="1"/>
    <col min="2" max="2" width="17.5703125" customWidth="1"/>
    <col min="3" max="3" width="33.28515625" customWidth="1"/>
    <col min="4" max="5" width="15.85546875" customWidth="1"/>
    <col min="6" max="6" width="31.140625" customWidth="1"/>
    <col min="7" max="7" width="15.7109375" customWidth="1"/>
  </cols>
  <sheetData>
    <row r="1" spans="1:7">
      <c r="A1" s="7" t="s">
        <v>20</v>
      </c>
      <c r="B1" s="7" t="s">
        <v>19</v>
      </c>
      <c r="C1" s="7" t="s">
        <v>23</v>
      </c>
      <c r="D1" s="7" t="s">
        <v>22</v>
      </c>
      <c r="E1" s="7" t="s">
        <v>24</v>
      </c>
      <c r="F1" s="7" t="s">
        <v>27</v>
      </c>
      <c r="G1" s="7" t="s">
        <v>28</v>
      </c>
    </row>
    <row r="2" spans="1:7">
      <c r="A2" s="14" t="s">
        <v>18</v>
      </c>
      <c r="B2" s="14" t="s">
        <v>21</v>
      </c>
      <c r="C2" s="12">
        <v>2080000</v>
      </c>
      <c r="D2" s="15">
        <v>2900000</v>
      </c>
      <c r="E2" s="15">
        <f>D2-C2</f>
        <v>820000</v>
      </c>
      <c r="F2" s="15">
        <f>E2*0.92</f>
        <v>754400</v>
      </c>
      <c r="G2" s="12">
        <f>F2/4</f>
        <v>188600</v>
      </c>
    </row>
    <row r="3" spans="1:7">
      <c r="A3" s="14" t="s">
        <v>26</v>
      </c>
      <c r="B3" s="14" t="s">
        <v>29</v>
      </c>
      <c r="C3" s="12">
        <v>44224000</v>
      </c>
      <c r="D3" s="12">
        <v>52569866</v>
      </c>
      <c r="E3" s="15">
        <f>D3-C3</f>
        <v>8345866</v>
      </c>
      <c r="F3" s="15">
        <f>E3*0.92</f>
        <v>7678196.7200000007</v>
      </c>
      <c r="G3" s="12">
        <f>F3/4</f>
        <v>1919549.1800000002</v>
      </c>
    </row>
    <row r="4" spans="1:7">
      <c r="A4" s="14"/>
      <c r="B4" s="14"/>
      <c r="C4" s="12"/>
      <c r="D4" s="12"/>
      <c r="E4" s="15"/>
      <c r="F4" s="15"/>
      <c r="G4" s="12"/>
    </row>
    <row r="5" spans="1:7">
      <c r="A5" s="14"/>
      <c r="B5" s="14"/>
      <c r="C5" s="12"/>
      <c r="D5" s="12"/>
      <c r="E5" s="15"/>
      <c r="F5" s="15"/>
      <c r="G5" s="12"/>
    </row>
    <row r="6" spans="1:7">
      <c r="A6" s="14"/>
      <c r="B6" s="14"/>
      <c r="C6" s="12"/>
      <c r="D6" s="12"/>
      <c r="E6" s="15"/>
      <c r="F6" s="15"/>
      <c r="G6" s="12"/>
    </row>
    <row r="7" spans="1:7" ht="15.75" customHeight="1">
      <c r="A7" s="7"/>
      <c r="B7" s="7"/>
      <c r="C7" s="11"/>
      <c r="D7" s="7"/>
      <c r="E7" s="7"/>
      <c r="F7" s="7"/>
      <c r="G7" s="7"/>
    </row>
    <row r="8" spans="1:7">
      <c r="A8" s="7"/>
      <c r="B8" s="7"/>
      <c r="C8" s="11"/>
      <c r="D8" s="7"/>
      <c r="E8" s="7"/>
      <c r="F8" s="7"/>
      <c r="G8" s="7"/>
    </row>
    <row r="9" spans="1:7">
      <c r="A9" s="17"/>
      <c r="B9" s="17"/>
      <c r="C9" s="18"/>
      <c r="D9" s="17"/>
      <c r="E9" s="17"/>
      <c r="F9" s="17"/>
      <c r="G9" s="17"/>
    </row>
    <row r="11" spans="1:7" ht="30">
      <c r="A11" s="13">
        <v>1034203</v>
      </c>
      <c r="B11" s="10" t="s">
        <v>25</v>
      </c>
    </row>
    <row r="12" spans="1:7">
      <c r="A12" s="13">
        <v>595702</v>
      </c>
      <c r="B12" t="s">
        <v>30</v>
      </c>
    </row>
    <row r="14" spans="1:7">
      <c r="A14" t="s">
        <v>31</v>
      </c>
      <c r="B14" s="16">
        <v>2703851</v>
      </c>
    </row>
  </sheetData>
  <pageMargins left="0.7" right="0.7" top="0.75" bottom="0.75" header="0.3" footer="0.3"/>
  <pageSetup paperSize="9" orientation="portrait" horizontalDpi="2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2021-01-20T05:57:23Z</dcterms:created>
  <dcterms:modified xsi:type="dcterms:W3CDTF">2025-06-22T07:33:38Z</dcterms:modified>
</cp:coreProperties>
</file>