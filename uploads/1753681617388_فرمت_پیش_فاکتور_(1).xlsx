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sour\Desktop\"/>
    </mc:Choice>
  </mc:AlternateContent>
  <xr:revisionPtr revIDLastSave="0" documentId="13_ncr:1_{6C20BE80-3BD1-4E13-BBF7-64C9F1A5E7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2" r:id="rId1"/>
    <sheet name="Sheet3" sheetId="3" r:id="rId2"/>
    <sheet name="Sheet4" sheetId="5" r:id="rId3"/>
    <sheet name="Sheet5" sheetId="6" r:id="rId4"/>
    <sheet name="Sheet6" sheetId="7" r:id="rId5"/>
    <sheet name="Sheet7" sheetId="8" r:id="rId6"/>
  </sheets>
  <calcPr calcId="191029"/>
</workbook>
</file>

<file path=xl/calcChain.xml><?xml version="1.0" encoding="utf-8"?>
<calcChain xmlns="http://schemas.openxmlformats.org/spreadsheetml/2006/main">
  <c r="J16" i="2" l="1"/>
  <c r="J17" i="2"/>
  <c r="J18" i="2"/>
  <c r="J19" i="2"/>
  <c r="J20" i="2"/>
  <c r="J22" i="2"/>
  <c r="J21" i="2"/>
  <c r="J15" i="2"/>
  <c r="J14" i="2"/>
  <c r="J13" i="2"/>
  <c r="J26" i="7"/>
  <c r="J27" i="7"/>
  <c r="J23" i="7"/>
  <c r="J24" i="7"/>
  <c r="J25" i="7"/>
  <c r="J22" i="8"/>
  <c r="J21" i="8"/>
  <c r="J20" i="8"/>
  <c r="J19" i="8"/>
  <c r="J18" i="8"/>
  <c r="J17" i="8"/>
  <c r="J16" i="8"/>
  <c r="J15" i="8"/>
  <c r="J14" i="8"/>
  <c r="J13" i="8"/>
  <c r="J22" i="7"/>
  <c r="J21" i="7"/>
  <c r="J20" i="7"/>
  <c r="J19" i="7"/>
  <c r="J18" i="7"/>
  <c r="J17" i="7"/>
  <c r="J16" i="7"/>
  <c r="J15" i="7"/>
  <c r="J14" i="7"/>
  <c r="J13" i="7"/>
  <c r="J22" i="3"/>
  <c r="J35" i="6"/>
  <c r="J36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7" i="3"/>
  <c r="J15" i="3"/>
  <c r="J16" i="3"/>
  <c r="J18" i="3"/>
  <c r="J19" i="3"/>
  <c r="J20" i="3"/>
  <c r="J21" i="3"/>
  <c r="J13" i="3"/>
  <c r="J14" i="3"/>
  <c r="J17" i="5"/>
  <c r="J16" i="5"/>
  <c r="J15" i="5"/>
  <c r="J14" i="5"/>
  <c r="J13" i="5"/>
  <c r="J18" i="5" l="1"/>
  <c r="J19" i="5" s="1"/>
  <c r="J20" i="5" s="1"/>
  <c r="J23" i="2"/>
  <c r="J24" i="2" s="1"/>
  <c r="J25" i="2" s="1"/>
  <c r="J23" i="3"/>
  <c r="J24" i="3" s="1"/>
  <c r="J25" i="3" s="1"/>
  <c r="J23" i="8"/>
  <c r="J24" i="8" s="1"/>
  <c r="J28" i="7"/>
  <c r="J29" i="7" s="1"/>
  <c r="J37" i="6"/>
  <c r="J25" i="8" l="1"/>
  <c r="J30" i="7"/>
  <c r="J38" i="6"/>
  <c r="J39" i="6" s="1"/>
</calcChain>
</file>

<file path=xl/sharedStrings.xml><?xml version="1.0" encoding="utf-8"?>
<sst xmlns="http://schemas.openxmlformats.org/spreadsheetml/2006/main" count="203" uniqueCount="83">
  <si>
    <t>فروشنده</t>
  </si>
  <si>
    <t>خریدار</t>
  </si>
  <si>
    <t>ردیف</t>
  </si>
  <si>
    <t>توضیحات</t>
  </si>
  <si>
    <t>شماره حساب</t>
  </si>
  <si>
    <t>شرح کالا/خدمات</t>
  </si>
  <si>
    <t>تعداد/مقدار</t>
  </si>
  <si>
    <t>مجموع:</t>
  </si>
  <si>
    <t>مالیات بر ارزش افزوده:</t>
  </si>
  <si>
    <t>پیش فاکتور فروش</t>
  </si>
  <si>
    <t>• اعتبار پیش فاکتور 24 ساعت از تاریخ صدور
• ...................................................</t>
  </si>
  <si>
    <t>مبلغ واحد/ریال</t>
  </si>
  <si>
    <t>مبلغ کل/ریال</t>
  </si>
  <si>
    <t>عدد</t>
  </si>
  <si>
    <r>
      <t xml:space="preserve">    شماره حساب: 1736363615                 شماره کارت: 6104337895003174                                                          شماره شبا:            IR910120020000001736363615                </t>
    </r>
    <r>
      <rPr>
        <b/>
        <sz val="11"/>
        <color theme="1"/>
        <rFont val="B Nazanin"/>
        <charset val="178"/>
      </rPr>
      <t xml:space="preserve">بانک ملت بنام فراهوش دنا   </t>
    </r>
  </si>
  <si>
    <t xml:space="preserve">  </t>
  </si>
  <si>
    <t xml:space="preserve">واحد </t>
  </si>
  <si>
    <t xml:space="preserve">متر </t>
  </si>
  <si>
    <t xml:space="preserve">نگهدارنده کابل </t>
  </si>
  <si>
    <t xml:space="preserve">عدد </t>
  </si>
  <si>
    <t xml:space="preserve">بست زیپی 30 سانتی </t>
  </si>
  <si>
    <t xml:space="preserve">بسته </t>
  </si>
  <si>
    <t>بست لوله فلکسی</t>
  </si>
  <si>
    <t>کیستون باکس</t>
  </si>
  <si>
    <t>سینی رک</t>
  </si>
  <si>
    <t>پاور ماژول</t>
  </si>
  <si>
    <t>فن رک</t>
  </si>
  <si>
    <t xml:space="preserve">کابل شبکهsftp cu nexans cat6 </t>
  </si>
  <si>
    <t xml:space="preserve">سوکت شبکه </t>
  </si>
  <si>
    <t>blank 1u</t>
  </si>
  <si>
    <t>لوله فلکسی سایز 21</t>
  </si>
  <si>
    <t xml:space="preserve">کابل برق 2.5*3 افشان cat cable </t>
  </si>
  <si>
    <t>ترانک لگرند با درب  50*105</t>
  </si>
  <si>
    <t xml:space="preserve">ups 3 KW onlin </t>
  </si>
  <si>
    <t>battry 100A saba</t>
  </si>
  <si>
    <t xml:space="preserve">جعبه باطری </t>
  </si>
  <si>
    <t>فراسان                      شناسه ملی:................................</t>
  </si>
  <si>
    <t xml:space="preserve">شرکت: فراهوش دنا                            شناسه ملی: 10530330500                                          شماره:3124
                                                                                                                                            تاریخ:1403/09/24  </t>
  </si>
  <si>
    <t xml:space="preserve">رک 22 یونیت عمق80     foc </t>
  </si>
  <si>
    <t xml:space="preserve">لوله پلی اتیلن pe6  با متالقات </t>
  </si>
  <si>
    <t>پیچ و مهره واشر سایر ملزومات نصب</t>
  </si>
  <si>
    <t xml:space="preserve"> </t>
  </si>
  <si>
    <t xml:space="preserve">سوییچ poe 8 پورت </t>
  </si>
  <si>
    <t>کم باکس 15*15</t>
  </si>
  <si>
    <t>تابلو برق 40*30 بارانی</t>
  </si>
  <si>
    <t xml:space="preserve">داکت </t>
  </si>
  <si>
    <t>کابل HDMI</t>
  </si>
  <si>
    <t>cisco GLC-LH-SM</t>
  </si>
  <si>
    <t>sfp cisco GLC-BX40-U-BIDI</t>
  </si>
  <si>
    <t>sfp cisco GLC-BX40-D-BIDI</t>
  </si>
  <si>
    <t>sfp cisco GLC-BX80-U-BIDI</t>
  </si>
  <si>
    <t>sfp cisco GLC-BX80-D-BIDI</t>
  </si>
  <si>
    <t>sfp cisco GLC-BX120-U-BIDI</t>
  </si>
  <si>
    <t>sfp cisco GLC-BX120-D-BIDI</t>
  </si>
  <si>
    <t>پچ کورد تک کور فیبرنوری سینگل مود LC-LC به متراژ 1.5 متر</t>
  </si>
  <si>
    <t>پچ کورد تک کور فیبرنوری سینگل مود     LC-SC به متراژ 1.5 متر</t>
  </si>
  <si>
    <t>استانداری                                          شناسه ملی:................................</t>
  </si>
  <si>
    <t xml:space="preserve">   شرکت: فراهوش دنا                            شناسه ملی: 10530330500                                          شماره: 68    
                                                                                                                                            تاریخ:1404/04/08     </t>
  </si>
  <si>
    <t xml:space="preserve">• اعتبار پیش فاکتور 24 ساعت از تاریخ صدور
•  مهلت پرداخت 7 روز کاری در صورت تاخیر فاکتور جدید طبق قیمت روز صادر میگردد </t>
  </si>
  <si>
    <t>فراسان                                شناسه ملی:................................</t>
  </si>
  <si>
    <t xml:space="preserve">   شرکت: فراهوش دنا                            شناسه ملی: 10530330500                                          شماره:82    
                                                                                                                                            تاریخ:1404/04/17     </t>
  </si>
  <si>
    <t>کبال تبدیل type-c-type-c anker</t>
  </si>
  <si>
    <t>ssd 480G adata SU650</t>
  </si>
  <si>
    <t>cpu i5 12400+fan</t>
  </si>
  <si>
    <t>RAM 16G DDR4 kingmax</t>
  </si>
  <si>
    <t>case Green ava plus</t>
  </si>
  <si>
    <t>cable sftp cu outdoor nexans</t>
  </si>
  <si>
    <t>cabmera ip DS-2cd2143G2-IU</t>
  </si>
  <si>
    <t>فراسان           شناسه ملی:................................</t>
  </si>
  <si>
    <t>nvr DS-7732NXI-k4</t>
  </si>
  <si>
    <t>M.B H610M H v3 kingmax</t>
  </si>
  <si>
    <t>anostaion m5</t>
  </si>
  <si>
    <t>HDD WD pirple 6TB</t>
  </si>
  <si>
    <t>کابل تبدیل  type-c-usb اصلی</t>
  </si>
  <si>
    <t>صورتحساب فروش</t>
  </si>
  <si>
    <t xml:space="preserve">شرکت: فراهوش دنا                            شناسه ملی: 10530330500                                          شماره:3123
                                                                                                                                            تاریخ:1404/04/23  </t>
  </si>
  <si>
    <t xml:space="preserve"> ردکل مهاری 18 متر با متعلقات و هزینه نصب و راه اندازی </t>
  </si>
  <si>
    <t>اداره استاندارد استان فارس                                                          شناسه ملی:................................</t>
  </si>
  <si>
    <t xml:space="preserve">   شرکت: فراهوش دنا                            شناسه ملی: 10530330500                                          شماره:85   
                                                                                                                                            تاریخ:1404/04/23     </t>
  </si>
  <si>
    <t xml:space="preserve">   شرکت: فراهوش دنا                            شناسه ملی: 10530330500                                          شماره:145   
                                                                                                                                            تاریخ 1404/05/04</t>
  </si>
  <si>
    <t>شرکت توسعه گردشگری آتیه خاورمیانه                     شناسه ملی10320877736</t>
  </si>
  <si>
    <t>صبا باطری 42آمپر</t>
  </si>
  <si>
    <t xml:space="preserve">• بعداز واریز مهلت تحویل کالا 30روز کاری
•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</si>
</sst>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-_ ;_ * #,##0.00\-_ ;_ * &quot;-&quot;??_-_ ;_ @_ "/>
    <numFmt numFmtId="165" formatCode="_ * #,##0_-_ ;_ * #,##0\-_ ;_ * &quot;-&quot;??_-_ ;_ @_ "/>
  </numFmts>
  <fonts count="8">
    <font>
      <sz val="11"/>
      <color theme="1"/>
      <name val="Calibri"/>
      <family val="2"/>
      <scheme val="minor"/>
    </font>
    <font>
      <sz val="11"/>
      <color theme="1"/>
      <name val="B Nazanin"/>
      <charset val="178"/>
    </font>
    <font>
      <b/>
      <sz val="11"/>
      <color theme="1"/>
      <name val="B Nazanin"/>
      <charset val="178"/>
    </font>
    <font>
      <sz val="11"/>
      <color theme="1"/>
      <name val="Calibri"/>
      <family val="2"/>
      <scheme val="minor"/>
    </font>
    <font>
      <b/>
      <sz val="12"/>
      <color theme="1"/>
      <name val="B Nazanin"/>
      <charset val="178"/>
    </font>
    <font>
      <sz val="8"/>
      <name val="Calibri"/>
      <family val="2"/>
      <scheme val="minor"/>
    </font>
    <font>
      <b/>
      <sz val="11"/>
      <color theme="1"/>
      <name val="B Nazanin"/>
    </font>
    <font>
      <b/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14996795556505021"/>
      </top>
      <bottom/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67955565050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theme="0" tint="-0.24994659260841701"/>
      </bottom>
      <diagonal/>
    </border>
    <border>
      <left/>
      <right style="medium">
        <color indexed="64"/>
      </right>
      <top/>
      <bottom style="thin">
        <color theme="0" tint="-0.24994659260841701"/>
      </bottom>
      <diagonal/>
    </border>
    <border>
      <left style="medium">
        <color indexed="64"/>
      </left>
      <right style="thin">
        <color theme="0" tint="-0.14993743705557422"/>
      </right>
      <top style="thin">
        <color theme="0" tint="-0.14996795556505021"/>
      </top>
      <bottom/>
      <diagonal/>
    </border>
    <border>
      <left/>
      <right style="medium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14993743705557422"/>
      </left>
      <right/>
      <top/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73">
    <xf numFmtId="0" fontId="0" fillId="0" borderId="0" xfId="0"/>
    <xf numFmtId="0" fontId="1" fillId="0" borderId="0" xfId="0" applyFont="1"/>
    <xf numFmtId="0" fontId="1" fillId="3" borderId="3" xfId="0" applyFont="1" applyFill="1" applyBorder="1"/>
    <xf numFmtId="0" fontId="2" fillId="3" borderId="3" xfId="0" applyFont="1" applyFill="1" applyBorder="1" applyAlignment="1">
      <alignment horizontal="left"/>
    </xf>
    <xf numFmtId="0" fontId="2" fillId="0" borderId="5" xfId="0" applyFont="1" applyBorder="1" applyAlignment="1">
      <alignment horizontal="center" vertical="center"/>
    </xf>
    <xf numFmtId="165" fontId="2" fillId="0" borderId="5" xfId="1" applyNumberFormat="1" applyFont="1" applyBorder="1" applyAlignment="1">
      <alignment horizontal="center" vertical="center"/>
    </xf>
    <xf numFmtId="0" fontId="1" fillId="0" borderId="9" xfId="0" applyFont="1" applyBorder="1"/>
    <xf numFmtId="0" fontId="1" fillId="0" borderId="10" xfId="0" applyFont="1" applyBorder="1"/>
    <xf numFmtId="0" fontId="1" fillId="3" borderId="16" xfId="0" applyFont="1" applyFill="1" applyBorder="1"/>
    <xf numFmtId="0" fontId="2" fillId="0" borderId="17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vertical="center"/>
    </xf>
    <xf numFmtId="0" fontId="2" fillId="0" borderId="25" xfId="0" applyFont="1" applyBorder="1" applyAlignment="1">
      <alignment horizontal="center" vertical="center"/>
    </xf>
    <xf numFmtId="165" fontId="1" fillId="0" borderId="0" xfId="0" applyNumberFormat="1" applyFont="1"/>
    <xf numFmtId="0" fontId="2" fillId="0" borderId="23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165" fontId="2" fillId="0" borderId="23" xfId="1" applyNumberFormat="1" applyFont="1" applyBorder="1" applyAlignment="1">
      <alignment horizontal="center" vertical="center"/>
    </xf>
    <xf numFmtId="165" fontId="2" fillId="0" borderId="26" xfId="1" applyNumberFormat="1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textRotation="90"/>
    </xf>
    <xf numFmtId="0" fontId="2" fillId="2" borderId="15" xfId="0" applyFont="1" applyFill="1" applyBorder="1" applyAlignment="1">
      <alignment horizontal="center" vertical="center" textRotation="90"/>
    </xf>
    <xf numFmtId="0" fontId="2" fillId="3" borderId="4" xfId="0" applyFont="1" applyFill="1" applyBorder="1" applyAlignment="1">
      <alignment horizontal="right" wrapText="1"/>
    </xf>
    <xf numFmtId="0" fontId="2" fillId="3" borderId="2" xfId="0" applyFont="1" applyFill="1" applyBorder="1" applyAlignment="1">
      <alignment horizontal="right" wrapText="1"/>
    </xf>
    <xf numFmtId="0" fontId="2" fillId="3" borderId="14" xfId="0" applyFont="1" applyFill="1" applyBorder="1" applyAlignment="1">
      <alignment horizontal="right" wrapText="1"/>
    </xf>
    <xf numFmtId="0" fontId="2" fillId="3" borderId="22" xfId="0" applyFont="1" applyFill="1" applyBorder="1" applyAlignment="1">
      <alignment horizontal="right" wrapText="1"/>
    </xf>
    <xf numFmtId="0" fontId="2" fillId="3" borderId="3" xfId="0" applyFont="1" applyFill="1" applyBorder="1" applyAlignment="1">
      <alignment horizontal="right" wrapText="1"/>
    </xf>
    <xf numFmtId="0" fontId="2" fillId="3" borderId="16" xfId="0" applyFont="1" applyFill="1" applyBorder="1" applyAlignment="1">
      <alignment horizontal="right" wrapText="1"/>
    </xf>
    <xf numFmtId="0" fontId="2" fillId="3" borderId="4" xfId="0" applyFont="1" applyFill="1" applyBorder="1" applyAlignment="1">
      <alignment horizontal="right"/>
    </xf>
    <xf numFmtId="0" fontId="2" fillId="3" borderId="2" xfId="0" applyFont="1" applyFill="1" applyBorder="1" applyAlignment="1">
      <alignment horizontal="right"/>
    </xf>
    <xf numFmtId="0" fontId="2" fillId="3" borderId="14" xfId="0" applyFont="1" applyFill="1" applyBorder="1" applyAlignment="1">
      <alignment horizontal="right"/>
    </xf>
    <xf numFmtId="0" fontId="1" fillId="0" borderId="19" xfId="0" applyFont="1" applyBorder="1" applyAlignment="1">
      <alignment horizontal="right" vertical="center" wrapText="1"/>
    </xf>
    <xf numFmtId="0" fontId="1" fillId="0" borderId="20" xfId="0" applyFont="1" applyBorder="1" applyAlignment="1">
      <alignment horizontal="right" vertical="center" wrapText="1"/>
    </xf>
    <xf numFmtId="0" fontId="1" fillId="0" borderId="21" xfId="0" applyFont="1" applyBorder="1" applyAlignment="1">
      <alignment horizontal="right" vertical="center" wrapText="1"/>
    </xf>
    <xf numFmtId="0" fontId="1" fillId="2" borderId="1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165" fontId="2" fillId="0" borderId="5" xfId="1" applyNumberFormat="1" applyFont="1" applyBorder="1" applyAlignment="1">
      <alignment horizontal="center" vertical="center"/>
    </xf>
    <xf numFmtId="165" fontId="2" fillId="0" borderId="18" xfId="1" applyNumberFormat="1" applyFont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right" wrapText="1" readingOrder="2"/>
    </xf>
    <xf numFmtId="0" fontId="1" fillId="0" borderId="5" xfId="0" applyFont="1" applyBorder="1" applyAlignment="1">
      <alignment horizontal="right" readingOrder="2"/>
    </xf>
    <xf numFmtId="0" fontId="1" fillId="0" borderId="18" xfId="0" applyFont="1" applyBorder="1" applyAlignment="1">
      <alignment horizontal="right" readingOrder="2"/>
    </xf>
    <xf numFmtId="0" fontId="1" fillId="0" borderId="17" xfId="0" applyFont="1" applyBorder="1" applyAlignment="1">
      <alignment horizontal="right" readingOrder="2"/>
    </xf>
    <xf numFmtId="0" fontId="2" fillId="0" borderId="23" xfId="0" applyFont="1" applyBorder="1" applyAlignment="1">
      <alignment vertical="center" wrapText="1"/>
    </xf>
    <xf numFmtId="0" fontId="2" fillId="0" borderId="24" xfId="0" applyFont="1" applyBorder="1" applyAlignment="1">
      <alignment vertical="center" wrapText="1"/>
    </xf>
    <xf numFmtId="0" fontId="2" fillId="0" borderId="25" xfId="0" applyFont="1" applyBorder="1" applyAlignment="1">
      <alignment vertical="center" wrapText="1"/>
    </xf>
    <xf numFmtId="0" fontId="2" fillId="0" borderId="23" xfId="0" applyFont="1" applyBorder="1" applyAlignment="1">
      <alignment horizontal="center" wrapText="1"/>
    </xf>
    <xf numFmtId="0" fontId="2" fillId="0" borderId="24" xfId="0" applyFont="1" applyBorder="1" applyAlignment="1">
      <alignment horizontal="center" wrapText="1"/>
    </xf>
    <xf numFmtId="0" fontId="2" fillId="0" borderId="25" xfId="0" applyFont="1" applyBorder="1" applyAlignment="1">
      <alignment horizont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39"/>
  <sheetViews>
    <sheetView rightToLeft="1" tabSelected="1" topLeftCell="A15" workbookViewId="0">
      <selection activeCell="B33" sqref="B33:K33"/>
    </sheetView>
  </sheetViews>
  <sheetFormatPr defaultColWidth="9.140625" defaultRowHeight="14.25"/>
  <cols>
    <col min="1" max="1" width="7.28515625" style="1" customWidth="1"/>
    <col min="2" max="2" width="4.85546875" style="1" customWidth="1"/>
    <col min="3" max="4" width="9.140625" style="1"/>
    <col min="5" max="5" width="8.42578125" style="1" customWidth="1"/>
    <col min="6" max="6" width="10.7109375" style="1" customWidth="1"/>
    <col min="7" max="7" width="5.7109375" style="1" customWidth="1"/>
    <col min="8" max="8" width="0.5703125" style="1" hidden="1" customWidth="1"/>
    <col min="9" max="9" width="14.42578125" style="1" bestFit="1" customWidth="1"/>
    <col min="10" max="10" width="9.140625" style="1"/>
    <col min="11" max="11" width="8.5703125" style="1" customWidth="1"/>
    <col min="12" max="14" width="9.140625" style="1"/>
    <col min="15" max="15" width="16.140625" style="1" bestFit="1" customWidth="1"/>
    <col min="16" max="16384" width="9.140625" style="1"/>
  </cols>
  <sheetData>
    <row r="1" spans="2:18">
      <c r="B1" s="29" t="s">
        <v>74</v>
      </c>
      <c r="C1" s="30"/>
      <c r="D1" s="30"/>
      <c r="E1" s="30"/>
      <c r="F1" s="30"/>
      <c r="G1" s="30"/>
      <c r="H1" s="30"/>
      <c r="I1" s="30"/>
      <c r="J1" s="30"/>
      <c r="K1" s="31"/>
    </row>
    <row r="2" spans="2:18" ht="10.5" customHeight="1">
      <c r="B2" s="32"/>
      <c r="C2" s="33"/>
      <c r="D2" s="33"/>
      <c r="E2" s="33"/>
      <c r="F2" s="33"/>
      <c r="G2" s="33"/>
      <c r="H2" s="33"/>
      <c r="I2" s="33"/>
      <c r="J2" s="33"/>
      <c r="K2" s="34"/>
    </row>
    <row r="3" spans="2:18" ht="17.100000000000001" hidden="1" customHeight="1">
      <c r="B3" s="32"/>
      <c r="C3" s="33"/>
      <c r="D3" s="33"/>
      <c r="E3" s="33"/>
      <c r="F3" s="33"/>
      <c r="G3" s="33"/>
      <c r="H3" s="33"/>
      <c r="I3" s="33"/>
      <c r="J3" s="33"/>
      <c r="K3" s="34"/>
    </row>
    <row r="4" spans="2:18" ht="6.75" hidden="1" customHeight="1">
      <c r="B4" s="35"/>
      <c r="C4" s="36"/>
      <c r="D4" s="36"/>
      <c r="E4" s="36"/>
      <c r="F4" s="36"/>
      <c r="G4" s="36"/>
      <c r="H4" s="36"/>
      <c r="I4" s="36"/>
      <c r="J4" s="36"/>
      <c r="K4" s="37"/>
    </row>
    <row r="5" spans="2:18" ht="3.75" hidden="1" customHeight="1">
      <c r="B5" s="6"/>
      <c r="K5" s="7"/>
    </row>
    <row r="6" spans="2:18" ht="30" customHeight="1">
      <c r="B6" s="38" t="s">
        <v>0</v>
      </c>
      <c r="C6" s="40" t="s">
        <v>79</v>
      </c>
      <c r="D6" s="41"/>
      <c r="E6" s="41"/>
      <c r="F6" s="41"/>
      <c r="G6" s="41"/>
      <c r="H6" s="41"/>
      <c r="I6" s="41"/>
      <c r="J6" s="41"/>
      <c r="K6" s="42"/>
    </row>
    <row r="7" spans="2:18" ht="45.75" customHeight="1">
      <c r="B7" s="39"/>
      <c r="C7" s="43"/>
      <c r="D7" s="44"/>
      <c r="E7" s="44"/>
      <c r="F7" s="44"/>
      <c r="G7" s="44"/>
      <c r="H7" s="44"/>
      <c r="I7" s="44"/>
      <c r="J7" s="44"/>
      <c r="K7" s="45"/>
    </row>
    <row r="8" spans="2:18" ht="5.25" customHeight="1">
      <c r="B8" s="6"/>
      <c r="K8" s="7"/>
    </row>
    <row r="9" spans="2:18" ht="24" customHeight="1">
      <c r="B9" s="38" t="s">
        <v>1</v>
      </c>
      <c r="C9" s="46" t="s">
        <v>80</v>
      </c>
      <c r="D9" s="47"/>
      <c r="E9" s="47"/>
      <c r="F9" s="47"/>
      <c r="G9" s="47"/>
      <c r="H9" s="47"/>
      <c r="I9" s="47"/>
      <c r="J9" s="47"/>
      <c r="K9" s="48"/>
    </row>
    <row r="10" spans="2:18" ht="3.75" customHeight="1">
      <c r="B10" s="39"/>
      <c r="C10" s="3"/>
      <c r="D10" s="2"/>
      <c r="E10" s="2"/>
      <c r="F10" s="2"/>
      <c r="G10" s="2"/>
      <c r="H10" s="2"/>
      <c r="I10" s="2"/>
      <c r="J10" s="2"/>
      <c r="K10" s="8"/>
    </row>
    <row r="11" spans="2:18" ht="9.75" customHeight="1">
      <c r="B11" s="6"/>
      <c r="K11" s="7"/>
    </row>
    <row r="12" spans="2:18" ht="21" customHeight="1">
      <c r="B12" s="9" t="s">
        <v>2</v>
      </c>
      <c r="C12" s="19" t="s">
        <v>5</v>
      </c>
      <c r="D12" s="19"/>
      <c r="E12" s="19"/>
      <c r="F12" s="4" t="s">
        <v>6</v>
      </c>
      <c r="G12" s="19" t="s">
        <v>16</v>
      </c>
      <c r="H12" s="19"/>
      <c r="I12" s="4" t="s">
        <v>11</v>
      </c>
      <c r="J12" s="19" t="s">
        <v>12</v>
      </c>
      <c r="K12" s="28"/>
    </row>
    <row r="13" spans="2:18" ht="46.5" customHeight="1">
      <c r="B13" s="9">
        <v>1</v>
      </c>
      <c r="C13" s="20" t="s">
        <v>81</v>
      </c>
      <c r="D13" s="21"/>
      <c r="E13" s="22"/>
      <c r="F13" s="4">
        <v>40</v>
      </c>
      <c r="G13" s="4" t="s">
        <v>13</v>
      </c>
      <c r="H13" s="4"/>
      <c r="I13" s="5">
        <v>88000000</v>
      </c>
      <c r="J13" s="23">
        <f t="shared" ref="J13:J22" si="0">F13*I13</f>
        <v>3520000000</v>
      </c>
      <c r="K13" s="24"/>
    </row>
    <row r="14" spans="2:18" ht="36" customHeight="1">
      <c r="B14" s="9"/>
      <c r="C14" s="20"/>
      <c r="D14" s="21"/>
      <c r="E14" s="22"/>
      <c r="F14" s="4"/>
      <c r="G14" s="4"/>
      <c r="H14" s="4"/>
      <c r="I14" s="5"/>
      <c r="J14" s="23">
        <f t="shared" si="0"/>
        <v>0</v>
      </c>
      <c r="K14" s="24"/>
    </row>
    <row r="15" spans="2:18" ht="28.5" customHeight="1">
      <c r="B15" s="9"/>
      <c r="C15" s="25"/>
      <c r="D15" s="26"/>
      <c r="E15" s="27"/>
      <c r="F15" s="4"/>
      <c r="G15" s="4"/>
      <c r="H15" s="4"/>
      <c r="I15" s="5"/>
      <c r="J15" s="23">
        <f t="shared" si="0"/>
        <v>0</v>
      </c>
      <c r="K15" s="24"/>
    </row>
    <row r="16" spans="2:18" ht="27" customHeight="1">
      <c r="B16" s="9"/>
      <c r="C16" s="20"/>
      <c r="D16" s="21"/>
      <c r="E16" s="22"/>
      <c r="F16" s="4"/>
      <c r="G16" s="4"/>
      <c r="H16" s="4"/>
      <c r="I16" s="5"/>
      <c r="J16" s="23">
        <f t="shared" ref="J16:J20" si="1">F16*I16</f>
        <v>0</v>
      </c>
      <c r="K16" s="24"/>
      <c r="R16"/>
    </row>
    <row r="17" spans="2:18" ht="33.75" customHeight="1">
      <c r="B17" s="9"/>
      <c r="C17" s="20"/>
      <c r="D17" s="21"/>
      <c r="E17" s="22"/>
      <c r="F17" s="4"/>
      <c r="G17" s="15"/>
      <c r="H17" s="17"/>
      <c r="I17" s="5"/>
      <c r="J17" s="23">
        <f t="shared" si="1"/>
        <v>0</v>
      </c>
      <c r="K17" s="24"/>
    </row>
    <row r="18" spans="2:18" ht="21" customHeight="1">
      <c r="B18" s="9"/>
      <c r="C18" s="15"/>
      <c r="D18" s="16"/>
      <c r="E18" s="17"/>
      <c r="F18" s="4"/>
      <c r="G18" s="15"/>
      <c r="H18" s="17"/>
      <c r="I18" s="5"/>
      <c r="J18" s="23">
        <f t="shared" si="1"/>
        <v>0</v>
      </c>
      <c r="K18" s="24"/>
      <c r="O18" s="13"/>
      <c r="R18" s="10"/>
    </row>
    <row r="19" spans="2:18" ht="21" customHeight="1">
      <c r="B19" s="9"/>
      <c r="C19" s="15"/>
      <c r="D19" s="16"/>
      <c r="E19" s="17"/>
      <c r="F19" s="4"/>
      <c r="G19" s="15"/>
      <c r="H19" s="17"/>
      <c r="I19" s="5"/>
      <c r="J19" s="23">
        <f t="shared" si="1"/>
        <v>0</v>
      </c>
      <c r="K19" s="24"/>
    </row>
    <row r="20" spans="2:18" ht="21" customHeight="1">
      <c r="B20" s="9"/>
      <c r="C20" s="15"/>
      <c r="D20" s="16"/>
      <c r="E20" s="17"/>
      <c r="F20" s="4"/>
      <c r="G20" s="15"/>
      <c r="H20" s="17"/>
      <c r="I20" s="5"/>
      <c r="J20" s="23">
        <f t="shared" si="1"/>
        <v>0</v>
      </c>
      <c r="K20" s="24"/>
    </row>
    <row r="21" spans="2:18" ht="21" customHeight="1">
      <c r="B21" s="9"/>
      <c r="C21" s="15"/>
      <c r="D21" s="16"/>
      <c r="E21" s="17"/>
      <c r="F21" s="12"/>
      <c r="G21" s="15"/>
      <c r="H21" s="17"/>
      <c r="I21" s="5"/>
      <c r="J21" s="23">
        <f t="shared" si="0"/>
        <v>0</v>
      </c>
      <c r="K21" s="24"/>
      <c r="O21" s="13"/>
    </row>
    <row r="22" spans="2:18" ht="21" customHeight="1">
      <c r="B22" s="9"/>
      <c r="C22" s="15"/>
      <c r="D22" s="16"/>
      <c r="E22" s="17"/>
      <c r="F22" s="12"/>
      <c r="G22" s="14"/>
      <c r="H22" s="12"/>
      <c r="I22" s="5"/>
      <c r="J22" s="23">
        <f t="shared" si="0"/>
        <v>0</v>
      </c>
      <c r="K22" s="24"/>
      <c r="O22" s="13"/>
    </row>
    <row r="23" spans="2:18" ht="23.25" customHeight="1">
      <c r="B23" s="18" t="s">
        <v>7</v>
      </c>
      <c r="C23" s="19"/>
      <c r="D23" s="19"/>
      <c r="E23" s="19"/>
      <c r="F23" s="19"/>
      <c r="G23" s="19"/>
      <c r="H23" s="19"/>
      <c r="I23" s="19"/>
      <c r="J23" s="23">
        <f>SUM(J13:K22)</f>
        <v>3520000000</v>
      </c>
      <c r="K23" s="24"/>
    </row>
    <row r="24" spans="2:18" ht="23.25" customHeight="1">
      <c r="B24" s="18" t="s">
        <v>8</v>
      </c>
      <c r="C24" s="19"/>
      <c r="D24" s="19"/>
      <c r="E24" s="19"/>
      <c r="F24" s="19"/>
      <c r="G24" s="19"/>
      <c r="H24" s="19"/>
      <c r="I24" s="19"/>
      <c r="J24" s="55">
        <f>J23*0.1</f>
        <v>352000000</v>
      </c>
      <c r="K24" s="56"/>
    </row>
    <row r="25" spans="2:18" ht="25.5" customHeight="1">
      <c r="B25" s="18" t="s">
        <v>15</v>
      </c>
      <c r="C25" s="19"/>
      <c r="D25" s="19"/>
      <c r="E25" s="19"/>
      <c r="F25" s="19"/>
      <c r="G25" s="19"/>
      <c r="H25" s="19"/>
      <c r="I25" s="19"/>
      <c r="J25" s="55">
        <f>J23+J24</f>
        <v>3872000000</v>
      </c>
      <c r="K25" s="56"/>
    </row>
    <row r="26" spans="2:18" ht="13.5" customHeight="1">
      <c r="B26" s="6"/>
      <c r="K26" s="7"/>
    </row>
    <row r="27" spans="2:18" ht="20.25" customHeight="1">
      <c r="B27" s="57" t="s">
        <v>3</v>
      </c>
      <c r="C27" s="58"/>
      <c r="D27" s="58"/>
      <c r="E27" s="58"/>
      <c r="F27" s="58"/>
      <c r="G27" s="58"/>
      <c r="H27" s="58"/>
      <c r="I27" s="58"/>
      <c r="J27" s="58"/>
      <c r="K27" s="59"/>
    </row>
    <row r="28" spans="2:18" ht="21" customHeight="1">
      <c r="B28" s="60" t="s">
        <v>82</v>
      </c>
      <c r="C28" s="61"/>
      <c r="D28" s="61"/>
      <c r="E28" s="61"/>
      <c r="F28" s="61"/>
      <c r="G28" s="61"/>
      <c r="H28" s="61"/>
      <c r="I28" s="61"/>
      <c r="J28" s="61"/>
      <c r="K28" s="62"/>
    </row>
    <row r="29" spans="2:18">
      <c r="B29" s="63"/>
      <c r="C29" s="61"/>
      <c r="D29" s="61"/>
      <c r="E29" s="61"/>
      <c r="F29" s="61"/>
      <c r="G29" s="61"/>
      <c r="H29" s="61"/>
      <c r="I29" s="61"/>
      <c r="J29" s="61"/>
      <c r="K29" s="62"/>
    </row>
    <row r="30" spans="2:18" ht="14.25" customHeight="1">
      <c r="B30" s="63"/>
      <c r="C30" s="61"/>
      <c r="D30" s="61"/>
      <c r="E30" s="61"/>
      <c r="F30" s="61"/>
      <c r="G30" s="61"/>
      <c r="H30" s="61"/>
      <c r="I30" s="61"/>
      <c r="J30" s="61"/>
      <c r="K30" s="62"/>
    </row>
    <row r="31" spans="2:18" ht="9.6" hidden="1" customHeight="1">
      <c r="B31" s="63"/>
      <c r="C31" s="61"/>
      <c r="D31" s="61"/>
      <c r="E31" s="61"/>
      <c r="F31" s="61"/>
      <c r="G31" s="61"/>
      <c r="H31" s="61"/>
      <c r="I31" s="61"/>
      <c r="J31" s="61"/>
      <c r="K31" s="62"/>
    </row>
    <row r="32" spans="2:18" ht="0.75" customHeight="1">
      <c r="B32" s="6"/>
      <c r="K32" s="7"/>
    </row>
    <row r="33" spans="2:11" ht="21.75" customHeight="1">
      <c r="B33" s="52" t="s">
        <v>4</v>
      </c>
      <c r="C33" s="53"/>
      <c r="D33" s="53"/>
      <c r="E33" s="53"/>
      <c r="F33" s="53"/>
      <c r="G33" s="53"/>
      <c r="H33" s="53"/>
      <c r="I33" s="53"/>
      <c r="J33" s="53"/>
      <c r="K33" s="54"/>
    </row>
    <row r="34" spans="2:11" ht="72.75" customHeight="1" thickBot="1">
      <c r="B34" s="49" t="s">
        <v>14</v>
      </c>
      <c r="C34" s="50"/>
      <c r="D34" s="50"/>
      <c r="E34" s="50"/>
      <c r="F34" s="50"/>
      <c r="G34" s="50"/>
      <c r="H34" s="50"/>
      <c r="I34" s="50"/>
      <c r="J34" s="50"/>
      <c r="K34" s="51"/>
    </row>
    <row r="39" spans="2:11" ht="15">
      <c r="H39"/>
    </row>
  </sheetData>
  <mergeCells count="43">
    <mergeCell ref="B34:K34"/>
    <mergeCell ref="B33:K33"/>
    <mergeCell ref="J23:K23"/>
    <mergeCell ref="J24:K24"/>
    <mergeCell ref="C21:E21"/>
    <mergeCell ref="J21:K21"/>
    <mergeCell ref="C22:E22"/>
    <mergeCell ref="J22:K22"/>
    <mergeCell ref="J25:K25"/>
    <mergeCell ref="B27:K27"/>
    <mergeCell ref="B28:K31"/>
    <mergeCell ref="B25:I25"/>
    <mergeCell ref="J19:K19"/>
    <mergeCell ref="G17:H17"/>
    <mergeCell ref="G18:H18"/>
    <mergeCell ref="G19:H19"/>
    <mergeCell ref="J20:K20"/>
    <mergeCell ref="C12:E12"/>
    <mergeCell ref="G12:H12"/>
    <mergeCell ref="J12:K12"/>
    <mergeCell ref="B1:K4"/>
    <mergeCell ref="B6:B7"/>
    <mergeCell ref="C6:K7"/>
    <mergeCell ref="B9:B10"/>
    <mergeCell ref="C9:K9"/>
    <mergeCell ref="C13:E13"/>
    <mergeCell ref="J13:K13"/>
    <mergeCell ref="C14:E14"/>
    <mergeCell ref="J14:K14"/>
    <mergeCell ref="C15:E15"/>
    <mergeCell ref="J15:K15"/>
    <mergeCell ref="C16:E16"/>
    <mergeCell ref="J16:K16"/>
    <mergeCell ref="C17:E17"/>
    <mergeCell ref="J17:K17"/>
    <mergeCell ref="C18:E18"/>
    <mergeCell ref="J18:K18"/>
    <mergeCell ref="C19:E19"/>
    <mergeCell ref="G20:H20"/>
    <mergeCell ref="G21:H21"/>
    <mergeCell ref="B23:I23"/>
    <mergeCell ref="B24:I24"/>
    <mergeCell ref="C20:E20"/>
  </mergeCells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39"/>
  <sheetViews>
    <sheetView rightToLeft="1" workbookViewId="0">
      <pane xSplit="2" ySplit="12" topLeftCell="C13" activePane="bottomRight" state="frozen"/>
      <selection pane="topRight" activeCell="B1" sqref="B1"/>
      <selection pane="bottomLeft" activeCell="A15" sqref="A15"/>
      <selection pane="bottomRight" activeCell="A12" sqref="A12"/>
    </sheetView>
  </sheetViews>
  <sheetFormatPr defaultColWidth="9.140625" defaultRowHeight="14.25"/>
  <cols>
    <col min="1" max="1" width="5.7109375" style="1" customWidth="1"/>
    <col min="2" max="2" width="6.28515625" style="1" customWidth="1"/>
    <col min="3" max="4" width="9.140625" style="1"/>
    <col min="5" max="5" width="14" style="1" customWidth="1"/>
    <col min="6" max="6" width="7.85546875" style="1" customWidth="1"/>
    <col min="7" max="7" width="5.7109375" style="1" customWidth="1"/>
    <col min="8" max="8" width="0.5703125" style="1" hidden="1" customWidth="1"/>
    <col min="9" max="9" width="14.42578125" style="1" customWidth="1"/>
    <col min="10" max="10" width="9.140625" style="1"/>
    <col min="11" max="11" width="9.140625" style="1" customWidth="1"/>
    <col min="12" max="14" width="9.140625" style="1"/>
    <col min="15" max="15" width="16.140625" style="1" bestFit="1" customWidth="1"/>
    <col min="16" max="16384" width="9.140625" style="1"/>
  </cols>
  <sheetData>
    <row r="1" spans="2:11">
      <c r="B1" s="29" t="s">
        <v>9</v>
      </c>
      <c r="C1" s="30"/>
      <c r="D1" s="30"/>
      <c r="E1" s="30"/>
      <c r="F1" s="30"/>
      <c r="G1" s="30"/>
      <c r="H1" s="30"/>
      <c r="I1" s="30"/>
      <c r="J1" s="30"/>
      <c r="K1" s="31"/>
    </row>
    <row r="2" spans="2:11" ht="10.5" customHeight="1">
      <c r="B2" s="32"/>
      <c r="C2" s="33"/>
      <c r="D2" s="33"/>
      <c r="E2" s="33"/>
      <c r="F2" s="33"/>
      <c r="G2" s="33"/>
      <c r="H2" s="33"/>
      <c r="I2" s="33"/>
      <c r="J2" s="33"/>
      <c r="K2" s="34"/>
    </row>
    <row r="3" spans="2:11" ht="17.100000000000001" hidden="1" customHeight="1">
      <c r="B3" s="32"/>
      <c r="C3" s="33"/>
      <c r="D3" s="33"/>
      <c r="E3" s="33"/>
      <c r="F3" s="33"/>
      <c r="G3" s="33"/>
      <c r="H3" s="33"/>
      <c r="I3" s="33"/>
      <c r="J3" s="33"/>
      <c r="K3" s="34"/>
    </row>
    <row r="4" spans="2:11" ht="6.75" hidden="1" customHeight="1">
      <c r="B4" s="35"/>
      <c r="C4" s="36"/>
      <c r="D4" s="36"/>
      <c r="E4" s="36"/>
      <c r="F4" s="36"/>
      <c r="G4" s="36"/>
      <c r="H4" s="36"/>
      <c r="I4" s="36"/>
      <c r="J4" s="36"/>
      <c r="K4" s="37"/>
    </row>
    <row r="5" spans="2:11" ht="3.75" hidden="1" customHeight="1">
      <c r="B5" s="6"/>
      <c r="K5" s="7"/>
    </row>
    <row r="6" spans="2:11" ht="30" customHeight="1">
      <c r="B6" s="38" t="s">
        <v>0</v>
      </c>
      <c r="C6" s="40" t="s">
        <v>57</v>
      </c>
      <c r="D6" s="41"/>
      <c r="E6" s="41"/>
      <c r="F6" s="41"/>
      <c r="G6" s="41"/>
      <c r="H6" s="41"/>
      <c r="I6" s="41"/>
      <c r="J6" s="41"/>
      <c r="K6" s="42"/>
    </row>
    <row r="7" spans="2:11" ht="45.75" customHeight="1">
      <c r="B7" s="39"/>
      <c r="C7" s="43"/>
      <c r="D7" s="44"/>
      <c r="E7" s="44"/>
      <c r="F7" s="44"/>
      <c r="G7" s="44"/>
      <c r="H7" s="44"/>
      <c r="I7" s="44"/>
      <c r="J7" s="44"/>
      <c r="K7" s="45"/>
    </row>
    <row r="8" spans="2:11" ht="5.25" customHeight="1">
      <c r="B8" s="6"/>
      <c r="K8" s="7"/>
    </row>
    <row r="9" spans="2:11" ht="24" customHeight="1">
      <c r="B9" s="38" t="s">
        <v>1</v>
      </c>
      <c r="C9" s="46" t="s">
        <v>56</v>
      </c>
      <c r="D9" s="47"/>
      <c r="E9" s="47"/>
      <c r="F9" s="47"/>
      <c r="G9" s="47"/>
      <c r="H9" s="47"/>
      <c r="I9" s="47"/>
      <c r="J9" s="47"/>
      <c r="K9" s="48"/>
    </row>
    <row r="10" spans="2:11" ht="3.75" customHeight="1">
      <c r="B10" s="39"/>
      <c r="C10" s="3"/>
      <c r="D10" s="2"/>
      <c r="E10" s="2"/>
      <c r="F10" s="2"/>
      <c r="G10" s="2"/>
      <c r="H10" s="2"/>
      <c r="I10" s="2"/>
      <c r="J10" s="2"/>
      <c r="K10" s="8"/>
    </row>
    <row r="11" spans="2:11" ht="9.75" customHeight="1">
      <c r="B11" s="6"/>
      <c r="K11" s="7"/>
    </row>
    <row r="12" spans="2:11" ht="21" customHeight="1">
      <c r="B12" s="9" t="s">
        <v>2</v>
      </c>
      <c r="C12" s="19" t="s">
        <v>5</v>
      </c>
      <c r="D12" s="19"/>
      <c r="E12" s="19"/>
      <c r="F12" s="4" t="s">
        <v>6</v>
      </c>
      <c r="G12" s="19" t="s">
        <v>16</v>
      </c>
      <c r="H12" s="19"/>
      <c r="I12" s="4" t="s">
        <v>11</v>
      </c>
      <c r="J12" s="19" t="s">
        <v>12</v>
      </c>
      <c r="K12" s="28"/>
    </row>
    <row r="13" spans="2:11" ht="32.25" customHeight="1">
      <c r="B13" s="9">
        <v>1</v>
      </c>
      <c r="C13" s="67" t="s">
        <v>47</v>
      </c>
      <c r="D13" s="68"/>
      <c r="E13" s="69"/>
      <c r="F13" s="4">
        <v>10</v>
      </c>
      <c r="G13" s="4" t="s">
        <v>13</v>
      </c>
      <c r="H13" s="4"/>
      <c r="I13" s="5">
        <v>5400000</v>
      </c>
      <c r="J13" s="23">
        <f t="shared" ref="J13:J14" si="0">F13*I13</f>
        <v>54000000</v>
      </c>
      <c r="K13" s="24"/>
    </row>
    <row r="14" spans="2:11" ht="43.5" customHeight="1">
      <c r="B14" s="9">
        <v>2</v>
      </c>
      <c r="C14" s="64" t="s">
        <v>48</v>
      </c>
      <c r="D14" s="65"/>
      <c r="E14" s="66"/>
      <c r="F14" s="4">
        <v>3</v>
      </c>
      <c r="G14" s="4" t="s">
        <v>13</v>
      </c>
      <c r="H14" s="4"/>
      <c r="I14" s="5">
        <v>14400000</v>
      </c>
      <c r="J14" s="23">
        <f t="shared" si="0"/>
        <v>43200000</v>
      </c>
      <c r="K14" s="24"/>
    </row>
    <row r="15" spans="2:11" ht="45.75" customHeight="1">
      <c r="B15" s="9">
        <v>3</v>
      </c>
      <c r="C15" s="64" t="s">
        <v>49</v>
      </c>
      <c r="D15" s="65"/>
      <c r="E15" s="66"/>
      <c r="F15" s="4">
        <v>3</v>
      </c>
      <c r="G15" s="4" t="s">
        <v>13</v>
      </c>
      <c r="H15" s="4"/>
      <c r="I15" s="5">
        <v>14400000</v>
      </c>
      <c r="J15" s="23">
        <f t="shared" ref="J15:J21" si="1">F15*I15</f>
        <v>43200000</v>
      </c>
      <c r="K15" s="24"/>
    </row>
    <row r="16" spans="2:11" ht="27" customHeight="1">
      <c r="B16" s="9">
        <v>4</v>
      </c>
      <c r="C16" s="64" t="s">
        <v>50</v>
      </c>
      <c r="D16" s="65"/>
      <c r="E16" s="66"/>
      <c r="F16" s="4">
        <v>3</v>
      </c>
      <c r="G16" s="4" t="s">
        <v>13</v>
      </c>
      <c r="H16" s="4"/>
      <c r="I16" s="5">
        <v>36000000</v>
      </c>
      <c r="J16" s="23">
        <f t="shared" si="1"/>
        <v>108000000</v>
      </c>
      <c r="K16" s="24"/>
    </row>
    <row r="17" spans="2:18" ht="33.75" customHeight="1">
      <c r="B17" s="9">
        <v>5</v>
      </c>
      <c r="C17" s="64" t="s">
        <v>51</v>
      </c>
      <c r="D17" s="65"/>
      <c r="E17" s="66"/>
      <c r="F17" s="4">
        <v>3</v>
      </c>
      <c r="G17" s="15" t="s">
        <v>13</v>
      </c>
      <c r="H17" s="17"/>
      <c r="I17" s="5">
        <v>36000000</v>
      </c>
      <c r="J17" s="23">
        <f t="shared" si="1"/>
        <v>108000000</v>
      </c>
      <c r="K17" s="24"/>
    </row>
    <row r="18" spans="2:18" ht="28.5" customHeight="1">
      <c r="B18" s="9">
        <v>6</v>
      </c>
      <c r="C18" s="64" t="s">
        <v>52</v>
      </c>
      <c r="D18" s="65"/>
      <c r="E18" s="66"/>
      <c r="F18" s="4">
        <v>2</v>
      </c>
      <c r="G18" s="15" t="s">
        <v>13</v>
      </c>
      <c r="H18" s="17"/>
      <c r="I18" s="5">
        <v>78000000</v>
      </c>
      <c r="J18" s="23">
        <f t="shared" si="1"/>
        <v>156000000</v>
      </c>
      <c r="K18" s="24"/>
      <c r="O18" s="13"/>
      <c r="R18" s="10"/>
    </row>
    <row r="19" spans="2:18" ht="29.25" customHeight="1">
      <c r="B19" s="9">
        <v>7</v>
      </c>
      <c r="C19" s="64" t="s">
        <v>53</v>
      </c>
      <c r="D19" s="65"/>
      <c r="E19" s="66"/>
      <c r="F19" s="4">
        <v>2</v>
      </c>
      <c r="G19" s="15" t="s">
        <v>13</v>
      </c>
      <c r="H19" s="17"/>
      <c r="I19" s="5">
        <v>78000000</v>
      </c>
      <c r="J19" s="23">
        <f t="shared" si="1"/>
        <v>156000000</v>
      </c>
      <c r="K19" s="24"/>
    </row>
    <row r="20" spans="2:18" ht="42.75" customHeight="1">
      <c r="B20" s="9">
        <v>8</v>
      </c>
      <c r="C20" s="20" t="s">
        <v>54</v>
      </c>
      <c r="D20" s="21"/>
      <c r="E20" s="22"/>
      <c r="F20" s="4">
        <v>10</v>
      </c>
      <c r="G20" s="15" t="s">
        <v>13</v>
      </c>
      <c r="H20" s="17"/>
      <c r="I20" s="5">
        <v>1500000</v>
      </c>
      <c r="J20" s="23">
        <f t="shared" si="1"/>
        <v>15000000</v>
      </c>
      <c r="K20" s="24"/>
    </row>
    <row r="21" spans="2:18" ht="49.5" customHeight="1">
      <c r="B21" s="9">
        <v>9</v>
      </c>
      <c r="C21" s="20" t="s">
        <v>55</v>
      </c>
      <c r="D21" s="21"/>
      <c r="E21" s="22"/>
      <c r="F21" s="12">
        <v>10</v>
      </c>
      <c r="G21" s="15" t="s">
        <v>13</v>
      </c>
      <c r="H21" s="17"/>
      <c r="I21" s="5">
        <v>1500000</v>
      </c>
      <c r="J21" s="23">
        <f t="shared" si="1"/>
        <v>15000000</v>
      </c>
      <c r="K21" s="24"/>
      <c r="O21" s="13"/>
    </row>
    <row r="22" spans="2:18" ht="21" customHeight="1">
      <c r="B22" s="9">
        <v>8</v>
      </c>
      <c r="C22" s="15"/>
      <c r="D22" s="16"/>
      <c r="E22" s="17"/>
      <c r="F22" s="12"/>
      <c r="G22" s="14"/>
      <c r="H22" s="12"/>
      <c r="I22" s="5"/>
      <c r="J22" s="23">
        <f t="shared" ref="J22" si="2">F22*I22</f>
        <v>0</v>
      </c>
      <c r="K22" s="24"/>
      <c r="O22" s="13"/>
    </row>
    <row r="23" spans="2:18" ht="23.25" customHeight="1">
      <c r="B23" s="18" t="s">
        <v>7</v>
      </c>
      <c r="C23" s="19"/>
      <c r="D23" s="19"/>
      <c r="E23" s="19"/>
      <c r="F23" s="19"/>
      <c r="G23" s="19"/>
      <c r="H23" s="19"/>
      <c r="I23" s="19"/>
      <c r="J23" s="23">
        <f>SUM(J13:K22)</f>
        <v>698400000</v>
      </c>
      <c r="K23" s="24"/>
    </row>
    <row r="24" spans="2:18" ht="23.25" customHeight="1">
      <c r="B24" s="18" t="s">
        <v>8</v>
      </c>
      <c r="C24" s="19"/>
      <c r="D24" s="19"/>
      <c r="E24" s="19"/>
      <c r="F24" s="19"/>
      <c r="G24" s="19"/>
      <c r="H24" s="19"/>
      <c r="I24" s="19"/>
      <c r="J24" s="55">
        <f>J23*0.1</f>
        <v>69840000</v>
      </c>
      <c r="K24" s="56"/>
    </row>
    <row r="25" spans="2:18" ht="25.5" customHeight="1">
      <c r="B25" s="18" t="s">
        <v>15</v>
      </c>
      <c r="C25" s="19"/>
      <c r="D25" s="19"/>
      <c r="E25" s="19"/>
      <c r="F25" s="19"/>
      <c r="G25" s="19"/>
      <c r="H25" s="19"/>
      <c r="I25" s="19"/>
      <c r="J25" s="55">
        <f>J23+J24</f>
        <v>768240000</v>
      </c>
      <c r="K25" s="56"/>
    </row>
    <row r="26" spans="2:18" ht="13.5" customHeight="1">
      <c r="B26" s="6"/>
      <c r="K26" s="7"/>
    </row>
    <row r="27" spans="2:18" ht="20.25" customHeight="1">
      <c r="B27" s="57" t="s">
        <v>3</v>
      </c>
      <c r="C27" s="58"/>
      <c r="D27" s="58"/>
      <c r="E27" s="58"/>
      <c r="F27" s="58"/>
      <c r="G27" s="58"/>
      <c r="H27" s="58"/>
      <c r="I27" s="58"/>
      <c r="J27" s="58"/>
      <c r="K27" s="59"/>
    </row>
    <row r="28" spans="2:18" ht="21" customHeight="1">
      <c r="B28" s="60" t="s">
        <v>10</v>
      </c>
      <c r="C28" s="61"/>
      <c r="D28" s="61"/>
      <c r="E28" s="61"/>
      <c r="F28" s="61"/>
      <c r="G28" s="61"/>
      <c r="H28" s="61"/>
      <c r="I28" s="61"/>
      <c r="J28" s="61"/>
      <c r="K28" s="62"/>
    </row>
    <row r="29" spans="2:18">
      <c r="B29" s="63"/>
      <c r="C29" s="61"/>
      <c r="D29" s="61"/>
      <c r="E29" s="61"/>
      <c r="F29" s="61"/>
      <c r="G29" s="61"/>
      <c r="H29" s="61"/>
      <c r="I29" s="61"/>
      <c r="J29" s="61"/>
      <c r="K29" s="62"/>
    </row>
    <row r="30" spans="2:18" ht="14.25" customHeight="1">
      <c r="B30" s="63"/>
      <c r="C30" s="61"/>
      <c r="D30" s="61"/>
      <c r="E30" s="61"/>
      <c r="F30" s="61"/>
      <c r="G30" s="61"/>
      <c r="H30" s="61"/>
      <c r="I30" s="61"/>
      <c r="J30" s="61"/>
      <c r="K30" s="62"/>
    </row>
    <row r="31" spans="2:18" ht="9.6" hidden="1" customHeight="1">
      <c r="B31" s="63"/>
      <c r="C31" s="61"/>
      <c r="D31" s="61"/>
      <c r="E31" s="61"/>
      <c r="F31" s="61"/>
      <c r="G31" s="61"/>
      <c r="H31" s="61"/>
      <c r="I31" s="61"/>
      <c r="J31" s="61"/>
      <c r="K31" s="62"/>
    </row>
    <row r="32" spans="2:18" ht="0.75" customHeight="1">
      <c r="B32" s="6"/>
      <c r="K32" s="7"/>
    </row>
    <row r="33" spans="2:11" ht="21.75" customHeight="1">
      <c r="B33" s="52" t="s">
        <v>4</v>
      </c>
      <c r="C33" s="53"/>
      <c r="D33" s="53"/>
      <c r="E33" s="53"/>
      <c r="F33" s="53"/>
      <c r="G33" s="53"/>
      <c r="H33" s="53"/>
      <c r="I33" s="53"/>
      <c r="J33" s="53"/>
      <c r="K33" s="54"/>
    </row>
    <row r="34" spans="2:11" ht="72.75" customHeight="1" thickBot="1">
      <c r="B34" s="49" t="s">
        <v>14</v>
      </c>
      <c r="C34" s="50"/>
      <c r="D34" s="50"/>
      <c r="E34" s="50"/>
      <c r="F34" s="50"/>
      <c r="G34" s="50"/>
      <c r="H34" s="50"/>
      <c r="I34" s="50"/>
      <c r="J34" s="50"/>
      <c r="K34" s="51"/>
    </row>
    <row r="39" spans="2:11" ht="15">
      <c r="H39"/>
    </row>
  </sheetData>
  <mergeCells count="43">
    <mergeCell ref="J20:K20"/>
    <mergeCell ref="B28:K31"/>
    <mergeCell ref="B33:K33"/>
    <mergeCell ref="B23:I23"/>
    <mergeCell ref="J23:K23"/>
    <mergeCell ref="C20:E20"/>
    <mergeCell ref="G20:H20"/>
    <mergeCell ref="J21:K21"/>
    <mergeCell ref="C21:E21"/>
    <mergeCell ref="G21:H21"/>
    <mergeCell ref="C22:E22"/>
    <mergeCell ref="J22:K22"/>
    <mergeCell ref="B34:K34"/>
    <mergeCell ref="B24:I24"/>
    <mergeCell ref="J24:K24"/>
    <mergeCell ref="B25:I25"/>
    <mergeCell ref="J25:K25"/>
    <mergeCell ref="B27:K27"/>
    <mergeCell ref="C13:E13"/>
    <mergeCell ref="C14:E14"/>
    <mergeCell ref="C15:E15"/>
    <mergeCell ref="J13:K13"/>
    <mergeCell ref="J14:K14"/>
    <mergeCell ref="J15:K15"/>
    <mergeCell ref="C16:E16"/>
    <mergeCell ref="C17:E17"/>
    <mergeCell ref="J16:K16"/>
    <mergeCell ref="C19:E19"/>
    <mergeCell ref="J19:K19"/>
    <mergeCell ref="J17:K17"/>
    <mergeCell ref="G17:H17"/>
    <mergeCell ref="J18:K18"/>
    <mergeCell ref="G18:H18"/>
    <mergeCell ref="C18:E18"/>
    <mergeCell ref="G19:H19"/>
    <mergeCell ref="C12:E12"/>
    <mergeCell ref="G12:H12"/>
    <mergeCell ref="J12:K12"/>
    <mergeCell ref="B1:K4"/>
    <mergeCell ref="B6:B7"/>
    <mergeCell ref="C6:K7"/>
    <mergeCell ref="B9:B10"/>
    <mergeCell ref="C9:K9"/>
  </mergeCells>
  <phoneticPr fontId="5" type="noConversion"/>
  <pageMargins left="0.25" right="0.25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3F9BD-5832-44B9-A7FA-1B17FB3087BE}">
  <sheetPr>
    <pageSetUpPr fitToPage="1"/>
  </sheetPr>
  <dimension ref="B1:S34"/>
  <sheetViews>
    <sheetView rightToLeft="1" workbookViewId="0">
      <selection activeCell="I14" sqref="I14"/>
    </sheetView>
  </sheetViews>
  <sheetFormatPr defaultColWidth="9.140625" defaultRowHeight="14.25"/>
  <cols>
    <col min="1" max="1" width="6.28515625" style="1" customWidth="1"/>
    <col min="2" max="2" width="4.7109375" style="1" bestFit="1" customWidth="1"/>
    <col min="3" max="4" width="9.140625" style="1"/>
    <col min="5" max="5" width="13.85546875" style="1" customWidth="1"/>
    <col min="6" max="6" width="7.85546875" style="1" customWidth="1"/>
    <col min="7" max="7" width="5.7109375" style="1" customWidth="1"/>
    <col min="8" max="8" width="0.5703125" style="1" hidden="1" customWidth="1"/>
    <col min="9" max="9" width="16.140625" style="1" customWidth="1"/>
    <col min="10" max="10" width="9.140625" style="1"/>
    <col min="11" max="11" width="10.42578125" style="1" customWidth="1"/>
    <col min="12" max="14" width="9.140625" style="1"/>
    <col min="15" max="15" width="14.42578125" style="1" bestFit="1" customWidth="1"/>
    <col min="16" max="16384" width="9.140625" style="1"/>
  </cols>
  <sheetData>
    <row r="1" spans="2:19">
      <c r="B1" s="29" t="s">
        <v>9</v>
      </c>
      <c r="C1" s="30"/>
      <c r="D1" s="30"/>
      <c r="E1" s="30"/>
      <c r="F1" s="30"/>
      <c r="G1" s="30"/>
      <c r="H1" s="30"/>
      <c r="I1" s="30"/>
      <c r="J1" s="30"/>
      <c r="K1" s="31"/>
    </row>
    <row r="2" spans="2:19" ht="10.5" customHeight="1">
      <c r="B2" s="32"/>
      <c r="C2" s="33"/>
      <c r="D2" s="33"/>
      <c r="E2" s="33"/>
      <c r="F2" s="33"/>
      <c r="G2" s="33"/>
      <c r="H2" s="33"/>
      <c r="I2" s="33"/>
      <c r="J2" s="33"/>
      <c r="K2" s="34"/>
    </row>
    <row r="3" spans="2:19" ht="17.100000000000001" hidden="1" customHeight="1">
      <c r="B3" s="32"/>
      <c r="C3" s="33"/>
      <c r="D3" s="33"/>
      <c r="E3" s="33"/>
      <c r="F3" s="33"/>
      <c r="G3" s="33"/>
      <c r="H3" s="33"/>
      <c r="I3" s="33"/>
      <c r="J3" s="33"/>
      <c r="K3" s="34"/>
    </row>
    <row r="4" spans="2:19" ht="6.75" hidden="1" customHeight="1">
      <c r="B4" s="35"/>
      <c r="C4" s="36"/>
      <c r="D4" s="36"/>
      <c r="E4" s="36"/>
      <c r="F4" s="36"/>
      <c r="G4" s="36"/>
      <c r="H4" s="36"/>
      <c r="I4" s="36"/>
      <c r="J4" s="36"/>
      <c r="K4" s="37"/>
    </row>
    <row r="5" spans="2:19" ht="3.75" hidden="1" customHeight="1">
      <c r="B5" s="6"/>
      <c r="K5" s="7"/>
    </row>
    <row r="6" spans="2:19" ht="30" customHeight="1">
      <c r="B6" s="38" t="s">
        <v>0</v>
      </c>
      <c r="C6" s="40" t="s">
        <v>75</v>
      </c>
      <c r="D6" s="41"/>
      <c r="E6" s="41"/>
      <c r="F6" s="41"/>
      <c r="G6" s="41"/>
      <c r="H6" s="41"/>
      <c r="I6" s="41"/>
      <c r="J6" s="41"/>
      <c r="K6" s="42"/>
    </row>
    <row r="7" spans="2:19" ht="30.75" customHeight="1">
      <c r="B7" s="39"/>
      <c r="C7" s="43"/>
      <c r="D7" s="44"/>
      <c r="E7" s="44"/>
      <c r="F7" s="44"/>
      <c r="G7" s="44"/>
      <c r="H7" s="44"/>
      <c r="I7" s="44"/>
      <c r="J7" s="44"/>
      <c r="K7" s="45"/>
    </row>
    <row r="8" spans="2:19" ht="3.75" customHeight="1">
      <c r="B8" s="6"/>
      <c r="K8" s="7"/>
    </row>
    <row r="9" spans="2:19" ht="24" customHeight="1">
      <c r="B9" s="38" t="s">
        <v>1</v>
      </c>
      <c r="C9" s="46" t="s">
        <v>77</v>
      </c>
      <c r="D9" s="47"/>
      <c r="E9" s="47"/>
      <c r="F9" s="47"/>
      <c r="G9" s="47"/>
      <c r="H9" s="47"/>
      <c r="I9" s="47"/>
      <c r="J9" s="47"/>
      <c r="K9" s="48"/>
    </row>
    <row r="10" spans="2:19" ht="3.75" customHeight="1">
      <c r="B10" s="39"/>
      <c r="C10" s="3"/>
      <c r="D10" s="2"/>
      <c r="E10" s="2"/>
      <c r="F10" s="2"/>
      <c r="G10" s="2"/>
      <c r="H10" s="2"/>
      <c r="I10" s="2"/>
      <c r="J10" s="2"/>
      <c r="K10" s="8"/>
    </row>
    <row r="11" spans="2:19" ht="3.75" customHeight="1">
      <c r="B11" s="6"/>
      <c r="K11" s="7"/>
    </row>
    <row r="12" spans="2:19" ht="21" customHeight="1">
      <c r="B12" s="9" t="s">
        <v>2</v>
      </c>
      <c r="C12" s="19" t="s">
        <v>5</v>
      </c>
      <c r="D12" s="19"/>
      <c r="E12" s="19"/>
      <c r="F12" s="4" t="s">
        <v>6</v>
      </c>
      <c r="G12" s="19" t="s">
        <v>16</v>
      </c>
      <c r="H12" s="19"/>
      <c r="I12" s="4" t="s">
        <v>11</v>
      </c>
      <c r="J12" s="19" t="s">
        <v>12</v>
      </c>
      <c r="K12" s="28"/>
    </row>
    <row r="13" spans="2:19" ht="50.25" customHeight="1">
      <c r="B13" s="9">
        <v>1</v>
      </c>
      <c r="C13" s="72" t="s">
        <v>76</v>
      </c>
      <c r="D13" s="72"/>
      <c r="E13" s="72"/>
      <c r="F13" s="4">
        <v>1</v>
      </c>
      <c r="G13" s="4" t="s">
        <v>13</v>
      </c>
      <c r="H13" s="4"/>
      <c r="I13" s="5">
        <v>630000000</v>
      </c>
      <c r="J13" s="55">
        <f t="shared" ref="J13:J17" si="0">F13*I13</f>
        <v>630000000</v>
      </c>
      <c r="K13" s="56"/>
    </row>
    <row r="14" spans="2:19" ht="21.75" customHeight="1">
      <c r="B14" s="9"/>
      <c r="C14" s="71"/>
      <c r="D14" s="71"/>
      <c r="E14" s="71"/>
      <c r="F14" s="4"/>
      <c r="G14" s="4"/>
      <c r="H14" s="4"/>
      <c r="I14" s="5"/>
      <c r="J14" s="55">
        <f t="shared" si="0"/>
        <v>0</v>
      </c>
      <c r="K14" s="56"/>
    </row>
    <row r="15" spans="2:19" ht="24.75" customHeight="1">
      <c r="B15" s="9"/>
      <c r="C15" s="20"/>
      <c r="D15" s="21"/>
      <c r="E15" s="22"/>
      <c r="F15" s="4"/>
      <c r="G15" s="4"/>
      <c r="H15" s="4"/>
      <c r="I15" s="5"/>
      <c r="J15" s="55">
        <f t="shared" si="0"/>
        <v>0</v>
      </c>
      <c r="K15" s="56"/>
    </row>
    <row r="16" spans="2:19" ht="38.25" customHeight="1">
      <c r="B16" s="9"/>
      <c r="C16" s="70"/>
      <c r="D16" s="70"/>
      <c r="E16" s="70"/>
      <c r="F16" s="4"/>
      <c r="G16" s="4"/>
      <c r="H16" s="4"/>
      <c r="I16" s="5"/>
      <c r="J16" s="55">
        <f t="shared" si="0"/>
        <v>0</v>
      </c>
      <c r="K16" s="56"/>
      <c r="S16" s="11"/>
    </row>
    <row r="17" spans="2:19" ht="37.5" customHeight="1">
      <c r="B17" s="9"/>
      <c r="C17" s="70"/>
      <c r="D17" s="70"/>
      <c r="E17" s="70"/>
      <c r="F17" s="4"/>
      <c r="G17" s="19"/>
      <c r="H17" s="19"/>
      <c r="I17" s="5"/>
      <c r="J17" s="55">
        <f t="shared" si="0"/>
        <v>0</v>
      </c>
      <c r="K17" s="56"/>
      <c r="R17"/>
      <c r="S17"/>
    </row>
    <row r="18" spans="2:19" ht="23.25" customHeight="1">
      <c r="B18" s="18" t="s">
        <v>7</v>
      </c>
      <c r="C18" s="19"/>
      <c r="D18" s="19"/>
      <c r="E18" s="19"/>
      <c r="F18" s="19"/>
      <c r="G18" s="19"/>
      <c r="H18" s="19"/>
      <c r="I18" s="19"/>
      <c r="J18" s="55">
        <f>SUM(J13:K17)</f>
        <v>630000000</v>
      </c>
      <c r="K18" s="56"/>
    </row>
    <row r="19" spans="2:19" ht="23.25" customHeight="1">
      <c r="B19" s="18" t="s">
        <v>8</v>
      </c>
      <c r="C19" s="19"/>
      <c r="D19" s="19"/>
      <c r="E19" s="19"/>
      <c r="F19" s="19"/>
      <c r="G19" s="19"/>
      <c r="H19" s="19"/>
      <c r="I19" s="19"/>
      <c r="J19" s="55">
        <f>J18*0.1</f>
        <v>63000000</v>
      </c>
      <c r="K19" s="56"/>
    </row>
    <row r="20" spans="2:19" ht="25.5" customHeight="1">
      <c r="B20" s="18" t="s">
        <v>15</v>
      </c>
      <c r="C20" s="19"/>
      <c r="D20" s="19"/>
      <c r="E20" s="19"/>
      <c r="F20" s="19"/>
      <c r="G20" s="19"/>
      <c r="H20" s="19"/>
      <c r="I20" s="19"/>
      <c r="J20" s="55">
        <f>J18+J19</f>
        <v>693000000</v>
      </c>
      <c r="K20" s="56"/>
    </row>
    <row r="21" spans="2:19" ht="0.75" customHeight="1">
      <c r="B21" s="6"/>
      <c r="K21" s="7"/>
    </row>
    <row r="22" spans="2:19" ht="20.25" customHeight="1">
      <c r="B22" s="57" t="s">
        <v>3</v>
      </c>
      <c r="C22" s="58"/>
      <c r="D22" s="58"/>
      <c r="E22" s="58"/>
      <c r="F22" s="58"/>
      <c r="G22" s="58"/>
      <c r="H22" s="58"/>
      <c r="I22" s="58"/>
      <c r="J22" s="58"/>
      <c r="K22" s="59"/>
    </row>
    <row r="23" spans="2:19">
      <c r="B23" s="60" t="s">
        <v>10</v>
      </c>
      <c r="C23" s="61"/>
      <c r="D23" s="61"/>
      <c r="E23" s="61"/>
      <c r="F23" s="61"/>
      <c r="G23" s="61"/>
      <c r="H23" s="61"/>
      <c r="I23" s="61"/>
      <c r="J23" s="61"/>
      <c r="K23" s="62"/>
    </row>
    <row r="24" spans="2:19">
      <c r="B24" s="63"/>
      <c r="C24" s="61"/>
      <c r="D24" s="61"/>
      <c r="E24" s="61"/>
      <c r="F24" s="61"/>
      <c r="G24" s="61"/>
      <c r="H24" s="61"/>
      <c r="I24" s="61"/>
      <c r="J24" s="61"/>
      <c r="K24" s="62"/>
    </row>
    <row r="25" spans="2:19" ht="7.5" customHeight="1">
      <c r="B25" s="63"/>
      <c r="C25" s="61"/>
      <c r="D25" s="61"/>
      <c r="E25" s="61"/>
      <c r="F25" s="61"/>
      <c r="G25" s="61"/>
      <c r="H25" s="61"/>
      <c r="I25" s="61"/>
      <c r="J25" s="61"/>
      <c r="K25" s="62"/>
    </row>
    <row r="26" spans="2:19" ht="9.6" hidden="1" customHeight="1">
      <c r="B26" s="63"/>
      <c r="C26" s="61"/>
      <c r="D26" s="61"/>
      <c r="E26" s="61"/>
      <c r="F26" s="61"/>
      <c r="G26" s="61"/>
      <c r="H26" s="61"/>
      <c r="I26" s="61"/>
      <c r="J26" s="61"/>
      <c r="K26" s="62"/>
    </row>
    <row r="27" spans="2:19" ht="0.75" customHeight="1">
      <c r="B27" s="6"/>
      <c r="K27" s="7"/>
    </row>
    <row r="28" spans="2:19" ht="21.75" customHeight="1">
      <c r="B28" s="52" t="s">
        <v>4</v>
      </c>
      <c r="C28" s="53"/>
      <c r="D28" s="53"/>
      <c r="E28" s="53"/>
      <c r="F28" s="53"/>
      <c r="G28" s="53"/>
      <c r="H28" s="53"/>
      <c r="I28" s="53"/>
      <c r="J28" s="53"/>
      <c r="K28" s="54"/>
    </row>
    <row r="29" spans="2:19" ht="53.25" customHeight="1" thickBot="1">
      <c r="B29" s="49" t="s">
        <v>14</v>
      </c>
      <c r="C29" s="50"/>
      <c r="D29" s="50"/>
      <c r="E29" s="50"/>
      <c r="F29" s="50"/>
      <c r="G29" s="50"/>
      <c r="H29" s="50"/>
      <c r="I29" s="50"/>
      <c r="J29" s="50"/>
      <c r="K29" s="51"/>
    </row>
    <row r="34" spans="8:8" ht="15">
      <c r="H34"/>
    </row>
  </sheetData>
  <mergeCells count="29">
    <mergeCell ref="J15:K15"/>
    <mergeCell ref="C15:E15"/>
    <mergeCell ref="B1:K4"/>
    <mergeCell ref="B6:B7"/>
    <mergeCell ref="C6:K7"/>
    <mergeCell ref="B9:B10"/>
    <mergeCell ref="C9:K9"/>
    <mergeCell ref="C12:E12"/>
    <mergeCell ref="G12:H12"/>
    <mergeCell ref="J12:K12"/>
    <mergeCell ref="J14:K14"/>
    <mergeCell ref="C14:E14"/>
    <mergeCell ref="C13:E13"/>
    <mergeCell ref="J13:K13"/>
    <mergeCell ref="C16:E16"/>
    <mergeCell ref="J16:K16"/>
    <mergeCell ref="C17:E17"/>
    <mergeCell ref="G17:H17"/>
    <mergeCell ref="J17:K17"/>
    <mergeCell ref="B23:K26"/>
    <mergeCell ref="B28:K28"/>
    <mergeCell ref="B29:K29"/>
    <mergeCell ref="B18:I18"/>
    <mergeCell ref="J18:K18"/>
    <mergeCell ref="B19:I19"/>
    <mergeCell ref="J19:K19"/>
    <mergeCell ref="B20:I20"/>
    <mergeCell ref="J20:K20"/>
    <mergeCell ref="B22:K22"/>
  </mergeCells>
  <pageMargins left="0.25" right="0.25" top="0.75" bottom="0.75" header="0.3" footer="0.3"/>
  <pageSetup paperSize="9" scale="9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DB25A-E57E-47B0-9497-51806ABCF2FC}">
  <dimension ref="B1:P53"/>
  <sheetViews>
    <sheetView rightToLeft="1" topLeftCell="A6" workbookViewId="0">
      <selection activeCell="I36" sqref="I36"/>
    </sheetView>
  </sheetViews>
  <sheetFormatPr defaultColWidth="9.140625" defaultRowHeight="14.25"/>
  <cols>
    <col min="1" max="1" width="4.42578125" style="1" customWidth="1"/>
    <col min="2" max="2" width="4.7109375" style="1" bestFit="1" customWidth="1"/>
    <col min="3" max="4" width="9.140625" style="1"/>
    <col min="5" max="5" width="15.28515625" style="1" customWidth="1"/>
    <col min="6" max="6" width="8" style="1" customWidth="1"/>
    <col min="7" max="7" width="6.42578125" style="1" customWidth="1"/>
    <col min="8" max="8" width="0.5703125" style="1" hidden="1" customWidth="1"/>
    <col min="9" max="9" width="14.42578125" style="1" customWidth="1"/>
    <col min="10" max="10" width="9.140625" style="1"/>
    <col min="11" max="11" width="8.140625" style="1" customWidth="1"/>
    <col min="12" max="15" width="9.140625" style="1"/>
    <col min="16" max="16" width="16.140625" style="1" bestFit="1" customWidth="1"/>
    <col min="17" max="16384" width="9.140625" style="1"/>
  </cols>
  <sheetData>
    <row r="1" spans="2:11">
      <c r="B1" s="29" t="s">
        <v>9</v>
      </c>
      <c r="C1" s="30"/>
      <c r="D1" s="30"/>
      <c r="E1" s="30"/>
      <c r="F1" s="30"/>
      <c r="G1" s="30"/>
      <c r="H1" s="30"/>
      <c r="I1" s="30"/>
      <c r="J1" s="30"/>
      <c r="K1" s="31"/>
    </row>
    <row r="2" spans="2:11" ht="10.5" customHeight="1">
      <c r="B2" s="32"/>
      <c r="C2" s="33"/>
      <c r="D2" s="33"/>
      <c r="E2" s="33"/>
      <c r="F2" s="33"/>
      <c r="G2" s="33"/>
      <c r="H2" s="33"/>
      <c r="I2" s="33"/>
      <c r="J2" s="33"/>
      <c r="K2" s="34"/>
    </row>
    <row r="3" spans="2:11" ht="17.100000000000001" hidden="1" customHeight="1">
      <c r="B3" s="32"/>
      <c r="C3" s="33"/>
      <c r="D3" s="33"/>
      <c r="E3" s="33"/>
      <c r="F3" s="33"/>
      <c r="G3" s="33"/>
      <c r="H3" s="33"/>
      <c r="I3" s="33"/>
      <c r="J3" s="33"/>
      <c r="K3" s="34"/>
    </row>
    <row r="4" spans="2:11" ht="6.75" hidden="1" customHeight="1">
      <c r="B4" s="35"/>
      <c r="C4" s="36"/>
      <c r="D4" s="36"/>
      <c r="E4" s="36"/>
      <c r="F4" s="36"/>
      <c r="G4" s="36"/>
      <c r="H4" s="36"/>
      <c r="I4" s="36"/>
      <c r="J4" s="36"/>
      <c r="K4" s="37"/>
    </row>
    <row r="5" spans="2:11" ht="1.5" customHeight="1">
      <c r="B5" s="6"/>
      <c r="K5" s="7"/>
    </row>
    <row r="6" spans="2:11" ht="45.75" customHeight="1">
      <c r="B6" s="38" t="s">
        <v>0</v>
      </c>
      <c r="C6" s="40" t="s">
        <v>37</v>
      </c>
      <c r="D6" s="41"/>
      <c r="E6" s="41"/>
      <c r="F6" s="41"/>
      <c r="G6" s="41"/>
      <c r="H6" s="41"/>
      <c r="I6" s="41"/>
      <c r="J6" s="41"/>
      <c r="K6" s="42"/>
    </row>
    <row r="7" spans="2:11" ht="18.75" customHeight="1">
      <c r="B7" s="39"/>
      <c r="C7" s="43"/>
      <c r="D7" s="44"/>
      <c r="E7" s="44"/>
      <c r="F7" s="44"/>
      <c r="G7" s="44"/>
      <c r="H7" s="44"/>
      <c r="I7" s="44"/>
      <c r="J7" s="44"/>
      <c r="K7" s="45"/>
    </row>
    <row r="8" spans="2:11" ht="3.75" hidden="1" customHeight="1">
      <c r="B8" s="6"/>
      <c r="K8" s="7"/>
    </row>
    <row r="9" spans="2:11" ht="20.25" customHeight="1">
      <c r="B9" s="38" t="s">
        <v>1</v>
      </c>
      <c r="C9" s="46" t="s">
        <v>36</v>
      </c>
      <c r="D9" s="47"/>
      <c r="E9" s="47"/>
      <c r="F9" s="47"/>
      <c r="G9" s="47"/>
      <c r="H9" s="47"/>
      <c r="I9" s="47"/>
      <c r="J9" s="47"/>
      <c r="K9" s="48"/>
    </row>
    <row r="10" spans="2:11" ht="0.75" customHeight="1">
      <c r="B10" s="39"/>
      <c r="C10" s="3"/>
      <c r="D10" s="2"/>
      <c r="E10" s="2"/>
      <c r="F10" s="2"/>
      <c r="G10" s="2"/>
      <c r="H10" s="2"/>
      <c r="I10" s="2"/>
      <c r="J10" s="2"/>
      <c r="K10" s="8"/>
    </row>
    <row r="11" spans="2:11" ht="3.75" customHeight="1">
      <c r="B11" s="6"/>
      <c r="K11" s="7"/>
    </row>
    <row r="12" spans="2:11" ht="18" customHeight="1">
      <c r="B12" s="9" t="s">
        <v>2</v>
      </c>
      <c r="C12" s="19" t="s">
        <v>5</v>
      </c>
      <c r="D12" s="19"/>
      <c r="E12" s="19"/>
      <c r="F12" s="4" t="s">
        <v>6</v>
      </c>
      <c r="G12" s="19" t="s">
        <v>16</v>
      </c>
      <c r="H12" s="19"/>
      <c r="I12" s="4" t="s">
        <v>11</v>
      </c>
      <c r="J12" s="19" t="s">
        <v>12</v>
      </c>
      <c r="K12" s="28"/>
    </row>
    <row r="13" spans="2:11" ht="18" customHeight="1">
      <c r="B13" s="9">
        <v>1</v>
      </c>
      <c r="C13" s="70" t="s">
        <v>27</v>
      </c>
      <c r="D13" s="70"/>
      <c r="E13" s="70"/>
      <c r="F13" s="4">
        <v>1220</v>
      </c>
      <c r="G13" s="4" t="s">
        <v>17</v>
      </c>
      <c r="H13" s="4"/>
      <c r="I13" s="5">
        <v>340000</v>
      </c>
      <c r="J13" s="55">
        <f t="shared" ref="J13:J36" si="0">F13*I13</f>
        <v>414800000</v>
      </c>
      <c r="K13" s="56"/>
    </row>
    <row r="14" spans="2:11" ht="18" customHeight="1">
      <c r="B14" s="9">
        <v>2</v>
      </c>
      <c r="C14" s="15" t="s">
        <v>32</v>
      </c>
      <c r="D14" s="16"/>
      <c r="E14" s="17"/>
      <c r="F14" s="4">
        <v>10</v>
      </c>
      <c r="G14" s="4" t="s">
        <v>17</v>
      </c>
      <c r="H14" s="4"/>
      <c r="I14" s="5">
        <v>2500000</v>
      </c>
      <c r="J14" s="55">
        <f t="shared" si="0"/>
        <v>25000000</v>
      </c>
      <c r="K14" s="56"/>
    </row>
    <row r="15" spans="2:11" ht="18" customHeight="1">
      <c r="B15" s="9">
        <v>3</v>
      </c>
      <c r="C15" s="19" t="s">
        <v>28</v>
      </c>
      <c r="D15" s="19"/>
      <c r="E15" s="19"/>
      <c r="F15" s="4">
        <v>70</v>
      </c>
      <c r="G15" s="4" t="s">
        <v>17</v>
      </c>
      <c r="H15" s="4"/>
      <c r="I15" s="5">
        <v>4000</v>
      </c>
      <c r="J15" s="55">
        <f t="shared" si="0"/>
        <v>280000</v>
      </c>
      <c r="K15" s="56"/>
    </row>
    <row r="16" spans="2:11" ht="18" customHeight="1">
      <c r="B16" s="9">
        <v>4</v>
      </c>
      <c r="C16" s="19" t="s">
        <v>31</v>
      </c>
      <c r="D16" s="19"/>
      <c r="E16" s="19"/>
      <c r="F16" s="4">
        <v>110</v>
      </c>
      <c r="G16" s="4" t="s">
        <v>17</v>
      </c>
      <c r="H16" s="4"/>
      <c r="I16" s="5">
        <v>715000</v>
      </c>
      <c r="J16" s="55">
        <f t="shared" si="0"/>
        <v>78650000</v>
      </c>
      <c r="K16" s="56"/>
    </row>
    <row r="17" spans="2:16" ht="18" customHeight="1">
      <c r="B17" s="9">
        <v>5</v>
      </c>
      <c r="C17" s="19" t="s">
        <v>38</v>
      </c>
      <c r="D17" s="19"/>
      <c r="E17" s="19"/>
      <c r="F17" s="4">
        <v>1</v>
      </c>
      <c r="G17" s="4" t="s">
        <v>13</v>
      </c>
      <c r="H17" s="4"/>
      <c r="I17" s="5">
        <v>175000000</v>
      </c>
      <c r="J17" s="55">
        <f t="shared" si="0"/>
        <v>175000000</v>
      </c>
      <c r="K17" s="56"/>
    </row>
    <row r="18" spans="2:16" ht="18" customHeight="1">
      <c r="B18" s="9">
        <v>6</v>
      </c>
      <c r="C18" s="19" t="s">
        <v>42</v>
      </c>
      <c r="D18" s="19"/>
      <c r="E18" s="19"/>
      <c r="F18" s="4">
        <v>1</v>
      </c>
      <c r="G18" s="4" t="s">
        <v>13</v>
      </c>
      <c r="H18" s="4"/>
      <c r="I18" s="5">
        <v>32000000</v>
      </c>
      <c r="J18" s="55">
        <f t="shared" si="0"/>
        <v>32000000</v>
      </c>
      <c r="K18" s="56"/>
    </row>
    <row r="19" spans="2:16" ht="18" customHeight="1">
      <c r="B19" s="9">
        <v>7</v>
      </c>
      <c r="C19" s="19" t="s">
        <v>18</v>
      </c>
      <c r="D19" s="19"/>
      <c r="E19" s="19"/>
      <c r="F19" s="4">
        <v>2</v>
      </c>
      <c r="G19" s="4" t="s">
        <v>13</v>
      </c>
      <c r="H19" s="4"/>
      <c r="I19" s="5">
        <v>2200000</v>
      </c>
      <c r="J19" s="55">
        <f t="shared" si="0"/>
        <v>4400000</v>
      </c>
      <c r="K19" s="56"/>
    </row>
    <row r="20" spans="2:16" ht="18" customHeight="1">
      <c r="B20" s="9">
        <v>8</v>
      </c>
      <c r="C20" s="19" t="s">
        <v>29</v>
      </c>
      <c r="D20" s="19"/>
      <c r="E20" s="19"/>
      <c r="F20" s="4">
        <v>10</v>
      </c>
      <c r="G20" s="19" t="s">
        <v>13</v>
      </c>
      <c r="H20" s="19"/>
      <c r="I20" s="5">
        <v>800000</v>
      </c>
      <c r="J20" s="55">
        <f t="shared" si="0"/>
        <v>8000000</v>
      </c>
      <c r="K20" s="56"/>
    </row>
    <row r="21" spans="2:16" ht="18" customHeight="1">
      <c r="B21" s="9">
        <v>9</v>
      </c>
      <c r="C21" s="19" t="s">
        <v>33</v>
      </c>
      <c r="D21" s="19"/>
      <c r="E21" s="19"/>
      <c r="F21" s="4">
        <v>1</v>
      </c>
      <c r="G21" s="19" t="s">
        <v>13</v>
      </c>
      <c r="H21" s="19"/>
      <c r="I21" s="5">
        <v>350000000</v>
      </c>
      <c r="J21" s="55">
        <f t="shared" si="0"/>
        <v>350000000</v>
      </c>
      <c r="K21" s="56"/>
    </row>
    <row r="22" spans="2:16" ht="18" customHeight="1">
      <c r="B22" s="9">
        <v>10</v>
      </c>
      <c r="C22" s="19" t="s">
        <v>34</v>
      </c>
      <c r="D22" s="19"/>
      <c r="E22" s="19"/>
      <c r="F22" s="4">
        <v>8</v>
      </c>
      <c r="G22" s="19" t="s">
        <v>13</v>
      </c>
      <c r="H22" s="19"/>
      <c r="I22" s="5">
        <v>105000000</v>
      </c>
      <c r="J22" s="55">
        <f t="shared" si="0"/>
        <v>840000000</v>
      </c>
      <c r="K22" s="56"/>
      <c r="P22" s="13"/>
    </row>
    <row r="23" spans="2:16" ht="18" customHeight="1">
      <c r="B23" s="9">
        <v>11</v>
      </c>
      <c r="C23" s="19" t="s">
        <v>35</v>
      </c>
      <c r="D23" s="19"/>
      <c r="E23" s="19"/>
      <c r="F23" s="4">
        <v>1</v>
      </c>
      <c r="G23" s="19" t="s">
        <v>13</v>
      </c>
      <c r="H23" s="19"/>
      <c r="I23" s="5">
        <v>75000000</v>
      </c>
      <c r="J23" s="55">
        <f t="shared" si="0"/>
        <v>75000000</v>
      </c>
      <c r="K23" s="56"/>
    </row>
    <row r="24" spans="2:16" ht="18" customHeight="1">
      <c r="B24" s="9">
        <v>13</v>
      </c>
      <c r="C24" s="15" t="s">
        <v>30</v>
      </c>
      <c r="D24" s="16"/>
      <c r="E24" s="17"/>
      <c r="F24" s="4">
        <v>250</v>
      </c>
      <c r="G24" s="4" t="s">
        <v>17</v>
      </c>
      <c r="H24" s="4"/>
      <c r="I24" s="5">
        <v>350000</v>
      </c>
      <c r="J24" s="55">
        <f t="shared" si="0"/>
        <v>87500000</v>
      </c>
      <c r="K24" s="56"/>
    </row>
    <row r="25" spans="2:16" ht="18" customHeight="1">
      <c r="B25" s="9">
        <v>14</v>
      </c>
      <c r="C25" s="15" t="s">
        <v>22</v>
      </c>
      <c r="D25" s="16"/>
      <c r="E25" s="17"/>
      <c r="F25" s="4">
        <v>280</v>
      </c>
      <c r="G25" s="4" t="s">
        <v>13</v>
      </c>
      <c r="H25" s="4"/>
      <c r="I25" s="5">
        <v>200000</v>
      </c>
      <c r="J25" s="55">
        <f t="shared" si="0"/>
        <v>56000000</v>
      </c>
      <c r="K25" s="56"/>
    </row>
    <row r="26" spans="2:16" ht="18" customHeight="1">
      <c r="B26" s="9">
        <v>15</v>
      </c>
      <c r="C26" s="15" t="s">
        <v>20</v>
      </c>
      <c r="D26" s="16"/>
      <c r="E26" s="17"/>
      <c r="F26" s="4">
        <v>5</v>
      </c>
      <c r="G26" s="19" t="s">
        <v>21</v>
      </c>
      <c r="H26" s="19"/>
      <c r="I26" s="5">
        <v>1500000</v>
      </c>
      <c r="J26" s="55">
        <f t="shared" si="0"/>
        <v>7500000</v>
      </c>
      <c r="K26" s="56"/>
    </row>
    <row r="27" spans="2:16" ht="18" customHeight="1">
      <c r="B27" s="9">
        <v>16</v>
      </c>
      <c r="C27" s="19" t="s">
        <v>43</v>
      </c>
      <c r="D27" s="19"/>
      <c r="E27" s="19"/>
      <c r="F27" s="4">
        <v>12</v>
      </c>
      <c r="G27" s="19" t="s">
        <v>19</v>
      </c>
      <c r="H27" s="19"/>
      <c r="I27" s="5">
        <v>850000</v>
      </c>
      <c r="J27" s="55">
        <f t="shared" si="0"/>
        <v>10200000</v>
      </c>
      <c r="K27" s="56"/>
    </row>
    <row r="28" spans="2:16" ht="18" customHeight="1">
      <c r="B28" s="9">
        <v>17</v>
      </c>
      <c r="C28" s="19" t="s">
        <v>39</v>
      </c>
      <c r="D28" s="19"/>
      <c r="E28" s="19"/>
      <c r="F28" s="4">
        <v>50</v>
      </c>
      <c r="G28" s="19" t="s">
        <v>17</v>
      </c>
      <c r="H28" s="19"/>
      <c r="I28" s="5">
        <v>550000</v>
      </c>
      <c r="J28" s="55">
        <f t="shared" si="0"/>
        <v>27500000</v>
      </c>
      <c r="K28" s="56"/>
    </row>
    <row r="29" spans="2:16" ht="18" customHeight="1">
      <c r="B29" s="9">
        <v>18</v>
      </c>
      <c r="C29" s="15" t="s">
        <v>44</v>
      </c>
      <c r="D29" s="16"/>
      <c r="E29" s="17"/>
      <c r="F29" s="4">
        <v>1</v>
      </c>
      <c r="G29" s="4" t="s">
        <v>13</v>
      </c>
      <c r="H29" s="4"/>
      <c r="I29" s="5">
        <v>19500000</v>
      </c>
      <c r="J29" s="55">
        <f t="shared" si="0"/>
        <v>19500000</v>
      </c>
      <c r="K29" s="56"/>
    </row>
    <row r="30" spans="2:16" ht="18" customHeight="1">
      <c r="B30" s="9">
        <v>19</v>
      </c>
      <c r="C30" s="15" t="s">
        <v>23</v>
      </c>
      <c r="D30" s="16"/>
      <c r="E30" s="17"/>
      <c r="F30" s="4">
        <v>3</v>
      </c>
      <c r="G30" s="4" t="s">
        <v>13</v>
      </c>
      <c r="H30" s="4"/>
      <c r="I30" s="5">
        <v>975000</v>
      </c>
      <c r="J30" s="55">
        <f t="shared" si="0"/>
        <v>2925000</v>
      </c>
      <c r="K30" s="56"/>
    </row>
    <row r="31" spans="2:16" ht="18" customHeight="1">
      <c r="B31" s="9">
        <v>20</v>
      </c>
      <c r="C31" s="15" t="s">
        <v>24</v>
      </c>
      <c r="D31" s="16"/>
      <c r="E31" s="17"/>
      <c r="F31" s="4">
        <v>1</v>
      </c>
      <c r="G31" s="4" t="s">
        <v>13</v>
      </c>
      <c r="H31" s="4"/>
      <c r="I31" s="5">
        <v>8840000</v>
      </c>
      <c r="J31" s="55">
        <f t="shared" si="0"/>
        <v>8840000</v>
      </c>
      <c r="K31" s="56"/>
    </row>
    <row r="32" spans="2:16" ht="18" customHeight="1">
      <c r="B32" s="9">
        <v>21</v>
      </c>
      <c r="C32" s="15" t="s">
        <v>25</v>
      </c>
      <c r="D32" s="16"/>
      <c r="E32" s="17"/>
      <c r="F32" s="4">
        <v>2</v>
      </c>
      <c r="G32" s="4" t="s">
        <v>13</v>
      </c>
      <c r="H32" s="4"/>
      <c r="I32" s="5">
        <v>5200000</v>
      </c>
      <c r="J32" s="55">
        <f t="shared" si="0"/>
        <v>10400000</v>
      </c>
      <c r="K32" s="56"/>
    </row>
    <row r="33" spans="2:16" ht="18" customHeight="1">
      <c r="B33" s="9">
        <v>22</v>
      </c>
      <c r="C33" s="15" t="s">
        <v>45</v>
      </c>
      <c r="D33" s="16"/>
      <c r="E33" s="17"/>
      <c r="F33" s="4">
        <v>30</v>
      </c>
      <c r="G33" s="4" t="s">
        <v>17</v>
      </c>
      <c r="H33" s="4"/>
      <c r="I33" s="5">
        <v>1500000</v>
      </c>
      <c r="J33" s="55">
        <f t="shared" si="0"/>
        <v>45000000</v>
      </c>
      <c r="K33" s="56"/>
    </row>
    <row r="34" spans="2:16" ht="18" customHeight="1">
      <c r="B34" s="9">
        <v>23</v>
      </c>
      <c r="C34" s="15" t="s">
        <v>40</v>
      </c>
      <c r="D34" s="16"/>
      <c r="E34" s="17"/>
      <c r="F34" s="4">
        <v>1</v>
      </c>
      <c r="G34" s="4" t="s">
        <v>13</v>
      </c>
      <c r="H34" s="4"/>
      <c r="I34" s="5">
        <v>50000000</v>
      </c>
      <c r="J34" s="55">
        <f t="shared" si="0"/>
        <v>50000000</v>
      </c>
      <c r="K34" s="56"/>
    </row>
    <row r="35" spans="2:16" ht="18" customHeight="1">
      <c r="B35" s="9">
        <v>23</v>
      </c>
      <c r="C35" s="15" t="s">
        <v>46</v>
      </c>
      <c r="D35" s="16"/>
      <c r="E35" s="17"/>
      <c r="F35" s="4">
        <v>1</v>
      </c>
      <c r="G35" s="4" t="s">
        <v>13</v>
      </c>
      <c r="H35" s="4"/>
      <c r="I35" s="5">
        <v>4500000</v>
      </c>
      <c r="J35" s="55">
        <f t="shared" ref="J35" si="1">F35*I35</f>
        <v>4500000</v>
      </c>
      <c r="K35" s="56"/>
    </row>
    <row r="36" spans="2:16" ht="18" customHeight="1">
      <c r="B36" s="9">
        <v>24</v>
      </c>
      <c r="C36" s="15" t="s">
        <v>26</v>
      </c>
      <c r="D36" s="16"/>
      <c r="E36" s="17"/>
      <c r="F36" s="4">
        <v>2</v>
      </c>
      <c r="G36" s="4" t="s">
        <v>13</v>
      </c>
      <c r="H36" s="4"/>
      <c r="I36" s="5">
        <v>3500000</v>
      </c>
      <c r="J36" s="55">
        <f t="shared" si="0"/>
        <v>7000000</v>
      </c>
      <c r="K36" s="56"/>
      <c r="P36" s="13"/>
    </row>
    <row r="37" spans="2:16" ht="23.25" customHeight="1">
      <c r="B37" s="18" t="s">
        <v>7</v>
      </c>
      <c r="C37" s="19"/>
      <c r="D37" s="19"/>
      <c r="E37" s="19"/>
      <c r="F37" s="19"/>
      <c r="G37" s="19"/>
      <c r="H37" s="19"/>
      <c r="I37" s="19"/>
      <c r="J37" s="55">
        <f>SUM(J13:K36)</f>
        <v>2339995000</v>
      </c>
      <c r="K37" s="56"/>
      <c r="P37" s="1" t="s">
        <v>41</v>
      </c>
    </row>
    <row r="38" spans="2:16" ht="17.25" customHeight="1">
      <c r="B38" s="18" t="s">
        <v>8</v>
      </c>
      <c r="C38" s="19"/>
      <c r="D38" s="19"/>
      <c r="E38" s="19"/>
      <c r="F38" s="19"/>
      <c r="G38" s="19"/>
      <c r="H38" s="19"/>
      <c r="I38" s="19"/>
      <c r="J38" s="55">
        <f>J37*0.1</f>
        <v>233999500</v>
      </c>
      <c r="K38" s="56"/>
    </row>
    <row r="39" spans="2:16" ht="22.5" customHeight="1">
      <c r="B39" s="18" t="s">
        <v>15</v>
      </c>
      <c r="C39" s="19"/>
      <c r="D39" s="19"/>
      <c r="E39" s="19"/>
      <c r="F39" s="19"/>
      <c r="G39" s="19"/>
      <c r="H39" s="19"/>
      <c r="I39" s="19"/>
      <c r="J39" s="55">
        <f>J37+J38</f>
        <v>2573994500</v>
      </c>
      <c r="K39" s="56"/>
    </row>
    <row r="40" spans="2:16" ht="0.75" customHeight="1">
      <c r="B40" s="6"/>
      <c r="K40" s="7"/>
    </row>
    <row r="41" spans="2:16" ht="20.25" customHeight="1">
      <c r="B41" s="57" t="s">
        <v>3</v>
      </c>
      <c r="C41" s="58"/>
      <c r="D41" s="58"/>
      <c r="E41" s="58"/>
      <c r="F41" s="58"/>
      <c r="G41" s="58"/>
      <c r="H41" s="58"/>
      <c r="I41" s="58"/>
      <c r="J41" s="58"/>
      <c r="K41" s="59"/>
    </row>
    <row r="42" spans="2:16" ht="20.25" customHeight="1">
      <c r="B42" s="60" t="s">
        <v>10</v>
      </c>
      <c r="C42" s="61"/>
      <c r="D42" s="61"/>
      <c r="E42" s="61"/>
      <c r="F42" s="61"/>
      <c r="G42" s="61"/>
      <c r="H42" s="61"/>
      <c r="I42" s="61"/>
      <c r="J42" s="61"/>
      <c r="K42" s="62"/>
    </row>
    <row r="43" spans="2:16" ht="2.25" customHeight="1">
      <c r="B43" s="63"/>
      <c r="C43" s="61"/>
      <c r="D43" s="61"/>
      <c r="E43" s="61"/>
      <c r="F43" s="61"/>
      <c r="G43" s="61"/>
      <c r="H43" s="61"/>
      <c r="I43" s="61"/>
      <c r="J43" s="61"/>
      <c r="K43" s="62"/>
    </row>
    <row r="44" spans="2:16" ht="2.25" customHeight="1">
      <c r="B44" s="63"/>
      <c r="C44" s="61"/>
      <c r="D44" s="61"/>
      <c r="E44" s="61"/>
      <c r="F44" s="61"/>
      <c r="G44" s="61"/>
      <c r="H44" s="61"/>
      <c r="I44" s="61"/>
      <c r="J44" s="61"/>
      <c r="K44" s="62"/>
    </row>
    <row r="45" spans="2:16" ht="9.6" hidden="1" customHeight="1">
      <c r="B45" s="63"/>
      <c r="C45" s="61"/>
      <c r="D45" s="61"/>
      <c r="E45" s="61"/>
      <c r="F45" s="61"/>
      <c r="G45" s="61"/>
      <c r="H45" s="61"/>
      <c r="I45" s="61"/>
      <c r="J45" s="61"/>
      <c r="K45" s="62"/>
    </row>
    <row r="46" spans="2:16" ht="0.75" customHeight="1">
      <c r="B46" s="6"/>
      <c r="K46" s="7"/>
    </row>
    <row r="47" spans="2:16" ht="18.75" customHeight="1">
      <c r="B47" s="52" t="s">
        <v>4</v>
      </c>
      <c r="C47" s="53"/>
      <c r="D47" s="53"/>
      <c r="E47" s="53"/>
      <c r="F47" s="53"/>
      <c r="G47" s="53"/>
      <c r="H47" s="53"/>
      <c r="I47" s="53"/>
      <c r="J47" s="53"/>
      <c r="K47" s="54"/>
    </row>
    <row r="48" spans="2:16" ht="43.5" customHeight="1" thickBot="1">
      <c r="B48" s="49" t="s">
        <v>14</v>
      </c>
      <c r="C48" s="50"/>
      <c r="D48" s="50"/>
      <c r="E48" s="50"/>
      <c r="F48" s="50"/>
      <c r="G48" s="50"/>
      <c r="H48" s="50"/>
      <c r="I48" s="50"/>
      <c r="J48" s="50"/>
      <c r="K48" s="51"/>
    </row>
    <row r="53" spans="8:8" ht="15">
      <c r="H53"/>
    </row>
  </sheetData>
  <mergeCells count="73">
    <mergeCell ref="B41:K41"/>
    <mergeCell ref="B42:K45"/>
    <mergeCell ref="B47:K47"/>
    <mergeCell ref="B48:K48"/>
    <mergeCell ref="C35:E35"/>
    <mergeCell ref="J35:K35"/>
    <mergeCell ref="B37:I37"/>
    <mergeCell ref="J37:K37"/>
    <mergeCell ref="B38:I38"/>
    <mergeCell ref="J38:K38"/>
    <mergeCell ref="B39:I39"/>
    <mergeCell ref="J39:K39"/>
    <mergeCell ref="C33:E33"/>
    <mergeCell ref="J33:K33"/>
    <mergeCell ref="C34:E34"/>
    <mergeCell ref="J34:K34"/>
    <mergeCell ref="C36:E36"/>
    <mergeCell ref="J36:K36"/>
    <mergeCell ref="C30:E30"/>
    <mergeCell ref="J30:K30"/>
    <mergeCell ref="C31:E31"/>
    <mergeCell ref="J31:K31"/>
    <mergeCell ref="C32:E32"/>
    <mergeCell ref="J32:K32"/>
    <mergeCell ref="C28:E28"/>
    <mergeCell ref="G28:H28"/>
    <mergeCell ref="J28:K28"/>
    <mergeCell ref="C29:E29"/>
    <mergeCell ref="J29:K29"/>
    <mergeCell ref="J25:K25"/>
    <mergeCell ref="C26:E26"/>
    <mergeCell ref="G26:H26"/>
    <mergeCell ref="J26:K26"/>
    <mergeCell ref="C27:E27"/>
    <mergeCell ref="G27:H27"/>
    <mergeCell ref="J27:K27"/>
    <mergeCell ref="C25:E25"/>
    <mergeCell ref="C12:E12"/>
    <mergeCell ref="G12:H12"/>
    <mergeCell ref="J12:K12"/>
    <mergeCell ref="B1:K4"/>
    <mergeCell ref="B6:B7"/>
    <mergeCell ref="C6:K7"/>
    <mergeCell ref="B9:B10"/>
    <mergeCell ref="C9:K9"/>
    <mergeCell ref="C16:E16"/>
    <mergeCell ref="J16:K16"/>
    <mergeCell ref="C13:E13"/>
    <mergeCell ref="J13:K13"/>
    <mergeCell ref="C14:E14"/>
    <mergeCell ref="J14:K14"/>
    <mergeCell ref="C15:E15"/>
    <mergeCell ref="J15:K15"/>
    <mergeCell ref="C20:E20"/>
    <mergeCell ref="J20:K20"/>
    <mergeCell ref="C21:E21"/>
    <mergeCell ref="J21:K21"/>
    <mergeCell ref="C17:E17"/>
    <mergeCell ref="J17:K17"/>
    <mergeCell ref="C18:E18"/>
    <mergeCell ref="J18:K18"/>
    <mergeCell ref="C19:E19"/>
    <mergeCell ref="J19:K19"/>
    <mergeCell ref="G20:H20"/>
    <mergeCell ref="G21:H21"/>
    <mergeCell ref="J22:K22"/>
    <mergeCell ref="J23:K23"/>
    <mergeCell ref="J24:K24"/>
    <mergeCell ref="C22:E22"/>
    <mergeCell ref="G22:H22"/>
    <mergeCell ref="C23:E23"/>
    <mergeCell ref="G23:H23"/>
    <mergeCell ref="C24:E24"/>
  </mergeCells>
  <pageMargins left="0.25" right="0.25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6E03E-8372-4CC3-A82A-F3C746DAD67E}">
  <dimension ref="B1:P44"/>
  <sheetViews>
    <sheetView rightToLeft="1" workbookViewId="0">
      <selection activeCell="C16" sqref="C16:E16"/>
    </sheetView>
  </sheetViews>
  <sheetFormatPr defaultColWidth="9.140625" defaultRowHeight="14.25"/>
  <cols>
    <col min="1" max="1" width="3.5703125" style="1" customWidth="1"/>
    <col min="2" max="2" width="6.28515625" style="1" customWidth="1"/>
    <col min="3" max="4" width="9.140625" style="1"/>
    <col min="5" max="5" width="14" style="1" customWidth="1"/>
    <col min="6" max="6" width="7.85546875" style="1" customWidth="1"/>
    <col min="7" max="7" width="5.7109375" style="1" customWidth="1"/>
    <col min="8" max="8" width="0.5703125" style="1" hidden="1" customWidth="1"/>
    <col min="9" max="9" width="14.42578125" style="1" customWidth="1"/>
    <col min="10" max="10" width="9.140625" style="1"/>
    <col min="11" max="11" width="7.140625" style="1" customWidth="1"/>
    <col min="12" max="13" width="9.140625" style="1"/>
    <col min="14" max="14" width="16.140625" style="1" bestFit="1" customWidth="1"/>
    <col min="15" max="16384" width="9.140625" style="1"/>
  </cols>
  <sheetData>
    <row r="1" spans="2:14">
      <c r="B1" s="29" t="s">
        <v>9</v>
      </c>
      <c r="C1" s="30"/>
      <c r="D1" s="30"/>
      <c r="E1" s="30"/>
      <c r="F1" s="30"/>
      <c r="G1" s="30"/>
      <c r="H1" s="30"/>
      <c r="I1" s="30"/>
      <c r="J1" s="30"/>
      <c r="K1" s="31"/>
    </row>
    <row r="2" spans="2:14" ht="10.5" customHeight="1">
      <c r="B2" s="32"/>
      <c r="C2" s="33"/>
      <c r="D2" s="33"/>
      <c r="E2" s="33"/>
      <c r="F2" s="33"/>
      <c r="G2" s="33"/>
      <c r="H2" s="33"/>
      <c r="I2" s="33"/>
      <c r="J2" s="33"/>
      <c r="K2" s="34"/>
    </row>
    <row r="3" spans="2:14" ht="17.100000000000001" hidden="1" customHeight="1">
      <c r="B3" s="32"/>
      <c r="C3" s="33"/>
      <c r="D3" s="33"/>
      <c r="E3" s="33"/>
      <c r="F3" s="33"/>
      <c r="G3" s="33"/>
      <c r="H3" s="33"/>
      <c r="I3" s="33"/>
      <c r="J3" s="33"/>
      <c r="K3" s="34"/>
    </row>
    <row r="4" spans="2:14" ht="6.75" hidden="1" customHeight="1">
      <c r="B4" s="35"/>
      <c r="C4" s="36"/>
      <c r="D4" s="36"/>
      <c r="E4" s="36"/>
      <c r="F4" s="36"/>
      <c r="G4" s="36"/>
      <c r="H4" s="36"/>
      <c r="I4" s="36"/>
      <c r="J4" s="36"/>
      <c r="K4" s="37"/>
    </row>
    <row r="5" spans="2:14" ht="3.75" hidden="1" customHeight="1">
      <c r="B5" s="6"/>
      <c r="K5" s="7"/>
    </row>
    <row r="6" spans="2:14" ht="30" customHeight="1">
      <c r="B6" s="38" t="s">
        <v>0</v>
      </c>
      <c r="C6" s="40" t="s">
        <v>78</v>
      </c>
      <c r="D6" s="41"/>
      <c r="E6" s="41"/>
      <c r="F6" s="41"/>
      <c r="G6" s="41"/>
      <c r="H6" s="41"/>
      <c r="I6" s="41"/>
      <c r="J6" s="41"/>
      <c r="K6" s="42"/>
    </row>
    <row r="7" spans="2:14" ht="45.75" customHeight="1">
      <c r="B7" s="39"/>
      <c r="C7" s="43"/>
      <c r="D7" s="44"/>
      <c r="E7" s="44"/>
      <c r="F7" s="44"/>
      <c r="G7" s="44"/>
      <c r="H7" s="44"/>
      <c r="I7" s="44"/>
      <c r="J7" s="44"/>
      <c r="K7" s="45"/>
    </row>
    <row r="8" spans="2:14" ht="5.25" customHeight="1">
      <c r="B8" s="6"/>
      <c r="K8" s="7"/>
    </row>
    <row r="9" spans="2:14" ht="24" customHeight="1">
      <c r="B9" s="38" t="s">
        <v>1</v>
      </c>
      <c r="C9" s="46" t="s">
        <v>68</v>
      </c>
      <c r="D9" s="47"/>
      <c r="E9" s="47"/>
      <c r="F9" s="47"/>
      <c r="G9" s="47"/>
      <c r="H9" s="47"/>
      <c r="I9" s="47"/>
      <c r="J9" s="47"/>
      <c r="K9" s="48"/>
    </row>
    <row r="10" spans="2:14" ht="3.75" customHeight="1">
      <c r="B10" s="39"/>
      <c r="C10" s="3"/>
      <c r="D10" s="2"/>
      <c r="E10" s="2"/>
      <c r="F10" s="2"/>
      <c r="G10" s="2"/>
      <c r="H10" s="2"/>
      <c r="I10" s="2"/>
      <c r="J10" s="2"/>
      <c r="K10" s="8"/>
    </row>
    <row r="11" spans="2:14" ht="9.75" customHeight="1">
      <c r="B11" s="6"/>
      <c r="K11" s="7"/>
    </row>
    <row r="12" spans="2:14" ht="21" customHeight="1">
      <c r="B12" s="9" t="s">
        <v>2</v>
      </c>
      <c r="C12" s="19" t="s">
        <v>5</v>
      </c>
      <c r="D12" s="19"/>
      <c r="E12" s="19"/>
      <c r="F12" s="4" t="s">
        <v>6</v>
      </c>
      <c r="G12" s="19" t="s">
        <v>16</v>
      </c>
      <c r="H12" s="19"/>
      <c r="I12" s="4" t="s">
        <v>11</v>
      </c>
      <c r="J12" s="19" t="s">
        <v>12</v>
      </c>
      <c r="K12" s="28"/>
    </row>
    <row r="13" spans="2:14" ht="26.25" customHeight="1">
      <c r="B13" s="9">
        <v>1</v>
      </c>
      <c r="C13" s="20" t="s">
        <v>69</v>
      </c>
      <c r="D13" s="21"/>
      <c r="E13" s="22"/>
      <c r="F13" s="4">
        <v>1</v>
      </c>
      <c r="G13" s="4" t="s">
        <v>13</v>
      </c>
      <c r="H13" s="4"/>
      <c r="I13" s="5">
        <v>216500000</v>
      </c>
      <c r="J13" s="23">
        <f t="shared" ref="J13:J22" si="0">F13*I13</f>
        <v>216500000</v>
      </c>
      <c r="K13" s="24"/>
    </row>
    <row r="14" spans="2:14" ht="27.75" customHeight="1">
      <c r="B14" s="9">
        <v>2</v>
      </c>
      <c r="C14" s="20" t="s">
        <v>72</v>
      </c>
      <c r="D14" s="21"/>
      <c r="E14" s="22"/>
      <c r="F14" s="4">
        <v>4</v>
      </c>
      <c r="G14" s="4" t="s">
        <v>13</v>
      </c>
      <c r="H14" s="4"/>
      <c r="I14" s="5">
        <v>126500000</v>
      </c>
      <c r="J14" s="23">
        <f t="shared" si="0"/>
        <v>506000000</v>
      </c>
      <c r="K14" s="24"/>
      <c r="N14" s="13"/>
    </row>
    <row r="15" spans="2:14" ht="27" customHeight="1">
      <c r="B15" s="9">
        <v>3</v>
      </c>
      <c r="C15" s="20" t="s">
        <v>71</v>
      </c>
      <c r="D15" s="21"/>
      <c r="E15" s="22"/>
      <c r="F15" s="4">
        <v>2</v>
      </c>
      <c r="G15" s="4" t="s">
        <v>13</v>
      </c>
      <c r="H15" s="4"/>
      <c r="I15" s="5">
        <v>55000000</v>
      </c>
      <c r="J15" s="23">
        <f t="shared" si="0"/>
        <v>110000000</v>
      </c>
      <c r="K15" s="24"/>
    </row>
    <row r="16" spans="2:14" ht="20.25" customHeight="1">
      <c r="B16" s="9"/>
      <c r="C16" s="15"/>
      <c r="D16" s="16"/>
      <c r="E16" s="17"/>
      <c r="F16" s="4"/>
      <c r="G16" s="15"/>
      <c r="H16" s="17"/>
      <c r="I16" s="5"/>
      <c r="J16" s="23">
        <f t="shared" si="0"/>
        <v>0</v>
      </c>
      <c r="K16" s="24"/>
      <c r="N16" s="13"/>
    </row>
    <row r="17" spans="2:16" ht="21" customHeight="1">
      <c r="B17" s="9"/>
      <c r="C17" s="15"/>
      <c r="D17" s="16"/>
      <c r="E17" s="17"/>
      <c r="F17" s="4"/>
      <c r="G17" s="15"/>
      <c r="H17" s="17"/>
      <c r="I17" s="5"/>
      <c r="J17" s="23">
        <f t="shared" si="0"/>
        <v>0</v>
      </c>
      <c r="K17" s="24"/>
    </row>
    <row r="18" spans="2:16" ht="21" customHeight="1">
      <c r="B18" s="9"/>
      <c r="C18" s="15"/>
      <c r="D18" s="16"/>
      <c r="E18" s="17"/>
      <c r="F18" s="4"/>
      <c r="G18" s="14"/>
      <c r="H18" s="12"/>
      <c r="I18" s="5"/>
      <c r="J18" s="23">
        <f t="shared" si="0"/>
        <v>0</v>
      </c>
      <c r="K18" s="24"/>
    </row>
    <row r="19" spans="2:16" ht="21" customHeight="1">
      <c r="B19" s="9"/>
      <c r="C19" s="19"/>
      <c r="D19" s="19"/>
      <c r="E19" s="19"/>
      <c r="F19" s="4"/>
      <c r="G19" s="14"/>
      <c r="H19" s="12"/>
      <c r="I19" s="5"/>
      <c r="J19" s="23">
        <f t="shared" si="0"/>
        <v>0</v>
      </c>
      <c r="K19" s="24"/>
    </row>
    <row r="20" spans="2:16" ht="21" customHeight="1">
      <c r="B20" s="9"/>
      <c r="C20" s="15"/>
      <c r="D20" s="16"/>
      <c r="E20" s="17"/>
      <c r="F20" s="4"/>
      <c r="G20" s="14"/>
      <c r="H20" s="12"/>
      <c r="I20" s="5"/>
      <c r="J20" s="23">
        <f t="shared" si="0"/>
        <v>0</v>
      </c>
      <c r="K20" s="24"/>
      <c r="P20"/>
    </row>
    <row r="21" spans="2:16" ht="21" customHeight="1">
      <c r="B21" s="9"/>
      <c r="C21" s="15"/>
      <c r="D21" s="16"/>
      <c r="E21" s="17"/>
      <c r="F21" s="4"/>
      <c r="G21" s="14"/>
      <c r="H21" s="12"/>
      <c r="I21" s="5"/>
      <c r="J21" s="23">
        <f t="shared" si="0"/>
        <v>0</v>
      </c>
      <c r="K21" s="24"/>
    </row>
    <row r="22" spans="2:16" ht="21" customHeight="1">
      <c r="B22" s="9"/>
      <c r="C22" s="15"/>
      <c r="D22" s="16"/>
      <c r="E22" s="17"/>
      <c r="F22" s="4"/>
      <c r="G22" s="14"/>
      <c r="H22" s="12"/>
      <c r="I22" s="5"/>
      <c r="J22" s="23">
        <f t="shared" si="0"/>
        <v>0</v>
      </c>
      <c r="K22" s="24"/>
      <c r="N22" s="13"/>
    </row>
    <row r="23" spans="2:16" ht="21" customHeight="1">
      <c r="B23" s="9"/>
      <c r="C23" s="15"/>
      <c r="D23" s="16"/>
      <c r="E23" s="17"/>
      <c r="F23" s="4"/>
      <c r="G23" s="15"/>
      <c r="H23" s="17"/>
      <c r="I23" s="5"/>
      <c r="J23" s="23">
        <f t="shared" ref="J23:J25" si="1">F23*I23</f>
        <v>0</v>
      </c>
      <c r="K23" s="24"/>
      <c r="N23" s="13"/>
    </row>
    <row r="24" spans="2:16" ht="21" customHeight="1">
      <c r="B24" s="9"/>
      <c r="C24" s="15"/>
      <c r="D24" s="16"/>
      <c r="E24" s="17"/>
      <c r="F24" s="4"/>
      <c r="G24" s="14"/>
      <c r="H24" s="12"/>
      <c r="I24" s="5"/>
      <c r="J24" s="23">
        <f t="shared" si="1"/>
        <v>0</v>
      </c>
      <c r="K24" s="24"/>
      <c r="N24" s="13"/>
    </row>
    <row r="25" spans="2:16" ht="21" customHeight="1">
      <c r="B25" s="9"/>
      <c r="C25" s="15"/>
      <c r="D25" s="16"/>
      <c r="E25" s="17"/>
      <c r="F25" s="4"/>
      <c r="G25" s="14"/>
      <c r="H25" s="12"/>
      <c r="I25" s="5"/>
      <c r="J25" s="23">
        <f t="shared" si="1"/>
        <v>0</v>
      </c>
      <c r="K25" s="24"/>
      <c r="N25" s="13"/>
    </row>
    <row r="26" spans="2:16" ht="21" customHeight="1">
      <c r="B26" s="9"/>
      <c r="C26" s="15"/>
      <c r="D26" s="16"/>
      <c r="E26" s="17"/>
      <c r="F26" s="4"/>
      <c r="G26" s="14"/>
      <c r="H26" s="12"/>
      <c r="I26" s="5"/>
      <c r="J26" s="23">
        <f t="shared" ref="J26:J27" si="2">F26*I26</f>
        <v>0</v>
      </c>
      <c r="K26" s="24"/>
      <c r="N26" s="13"/>
    </row>
    <row r="27" spans="2:16" ht="21" customHeight="1">
      <c r="B27" s="9"/>
      <c r="C27" s="15"/>
      <c r="D27" s="16"/>
      <c r="E27" s="17"/>
      <c r="F27" s="4"/>
      <c r="G27" s="14"/>
      <c r="H27" s="12"/>
      <c r="I27" s="5"/>
      <c r="J27" s="23">
        <f t="shared" si="2"/>
        <v>0</v>
      </c>
      <c r="K27" s="24"/>
      <c r="N27" s="13"/>
    </row>
    <row r="28" spans="2:16" ht="23.25" customHeight="1">
      <c r="B28" s="18" t="s">
        <v>7</v>
      </c>
      <c r="C28" s="19"/>
      <c r="D28" s="19"/>
      <c r="E28" s="19"/>
      <c r="F28" s="19"/>
      <c r="G28" s="19"/>
      <c r="H28" s="19"/>
      <c r="I28" s="19"/>
      <c r="J28" s="55">
        <f>SUM(J13:K22)</f>
        <v>832500000</v>
      </c>
      <c r="K28" s="56"/>
    </row>
    <row r="29" spans="2:16" ht="23.25" customHeight="1">
      <c r="B29" s="18" t="s">
        <v>8</v>
      </c>
      <c r="C29" s="19"/>
      <c r="D29" s="19"/>
      <c r="E29" s="19"/>
      <c r="F29" s="19"/>
      <c r="G29" s="19"/>
      <c r="H29" s="19"/>
      <c r="I29" s="19"/>
      <c r="J29" s="55">
        <f>J28*0.1</f>
        <v>83250000</v>
      </c>
      <c r="K29" s="56"/>
    </row>
    <row r="30" spans="2:16" ht="25.5" customHeight="1">
      <c r="B30" s="18" t="s">
        <v>15</v>
      </c>
      <c r="C30" s="19"/>
      <c r="D30" s="19"/>
      <c r="E30" s="19"/>
      <c r="F30" s="19"/>
      <c r="G30" s="19"/>
      <c r="H30" s="19"/>
      <c r="I30" s="19"/>
      <c r="J30" s="55">
        <f>J28+J29</f>
        <v>915750000</v>
      </c>
      <c r="K30" s="56"/>
    </row>
    <row r="31" spans="2:16" ht="13.5" customHeight="1">
      <c r="B31" s="6"/>
      <c r="K31" s="7"/>
    </row>
    <row r="32" spans="2:16" ht="20.25" customHeight="1">
      <c r="B32" s="57" t="s">
        <v>3</v>
      </c>
      <c r="C32" s="58"/>
      <c r="D32" s="58"/>
      <c r="E32" s="58"/>
      <c r="F32" s="58"/>
      <c r="G32" s="58"/>
      <c r="H32" s="58"/>
      <c r="I32" s="58"/>
      <c r="J32" s="58"/>
      <c r="K32" s="59"/>
    </row>
    <row r="33" spans="2:11" ht="21" customHeight="1">
      <c r="B33" s="60" t="s">
        <v>10</v>
      </c>
      <c r="C33" s="61"/>
      <c r="D33" s="61"/>
      <c r="E33" s="61"/>
      <c r="F33" s="61"/>
      <c r="G33" s="61"/>
      <c r="H33" s="61"/>
      <c r="I33" s="61"/>
      <c r="J33" s="61"/>
      <c r="K33" s="62"/>
    </row>
    <row r="34" spans="2:11">
      <c r="B34" s="63"/>
      <c r="C34" s="61"/>
      <c r="D34" s="61"/>
      <c r="E34" s="61"/>
      <c r="F34" s="61"/>
      <c r="G34" s="61"/>
      <c r="H34" s="61"/>
      <c r="I34" s="61"/>
      <c r="J34" s="61"/>
      <c r="K34" s="62"/>
    </row>
    <row r="35" spans="2:11" ht="14.25" customHeight="1">
      <c r="B35" s="63"/>
      <c r="C35" s="61"/>
      <c r="D35" s="61"/>
      <c r="E35" s="61"/>
      <c r="F35" s="61"/>
      <c r="G35" s="61"/>
      <c r="H35" s="61"/>
      <c r="I35" s="61"/>
      <c r="J35" s="61"/>
      <c r="K35" s="62"/>
    </row>
    <row r="36" spans="2:11" ht="9.6" hidden="1" customHeight="1">
      <c r="B36" s="63"/>
      <c r="C36" s="61"/>
      <c r="D36" s="61"/>
      <c r="E36" s="61"/>
      <c r="F36" s="61"/>
      <c r="G36" s="61"/>
      <c r="H36" s="61"/>
      <c r="I36" s="61"/>
      <c r="J36" s="61"/>
      <c r="K36" s="62"/>
    </row>
    <row r="37" spans="2:11" ht="0.75" customHeight="1">
      <c r="B37" s="6"/>
      <c r="K37" s="7"/>
    </row>
    <row r="38" spans="2:11" ht="21.75" customHeight="1">
      <c r="B38" s="52" t="s">
        <v>4</v>
      </c>
      <c r="C38" s="53"/>
      <c r="D38" s="53"/>
      <c r="E38" s="53"/>
      <c r="F38" s="53"/>
      <c r="G38" s="53"/>
      <c r="H38" s="53"/>
      <c r="I38" s="53"/>
      <c r="J38" s="53"/>
      <c r="K38" s="54"/>
    </row>
    <row r="39" spans="2:11" ht="72.75" customHeight="1" thickBot="1">
      <c r="B39" s="49" t="s">
        <v>14</v>
      </c>
      <c r="C39" s="50"/>
      <c r="D39" s="50"/>
      <c r="E39" s="50"/>
      <c r="F39" s="50"/>
      <c r="G39" s="50"/>
      <c r="H39" s="50"/>
      <c r="I39" s="50"/>
      <c r="J39" s="50"/>
      <c r="K39" s="51"/>
    </row>
    <row r="44" spans="2:11" ht="15.75" thickBot="1">
      <c r="H44"/>
    </row>
  </sheetData>
  <mergeCells count="51">
    <mergeCell ref="C26:E26"/>
    <mergeCell ref="C27:E27"/>
    <mergeCell ref="J26:K26"/>
    <mergeCell ref="J27:K27"/>
    <mergeCell ref="G23:H23"/>
    <mergeCell ref="C23:E23"/>
    <mergeCell ref="C24:E24"/>
    <mergeCell ref="C25:E25"/>
    <mergeCell ref="J23:K23"/>
    <mergeCell ref="J24:K24"/>
    <mergeCell ref="J25:K25"/>
    <mergeCell ref="B39:K39"/>
    <mergeCell ref="B28:I28"/>
    <mergeCell ref="J28:K28"/>
    <mergeCell ref="B29:I29"/>
    <mergeCell ref="J29:K29"/>
    <mergeCell ref="B30:I30"/>
    <mergeCell ref="J30:K30"/>
    <mergeCell ref="B32:K32"/>
    <mergeCell ref="B33:K36"/>
    <mergeCell ref="B38:K38"/>
    <mergeCell ref="C21:E21"/>
    <mergeCell ref="J21:K21"/>
    <mergeCell ref="C22:E22"/>
    <mergeCell ref="J22:K22"/>
    <mergeCell ref="C18:E18"/>
    <mergeCell ref="J18:K18"/>
    <mergeCell ref="C19:E19"/>
    <mergeCell ref="J19:K19"/>
    <mergeCell ref="C20:E20"/>
    <mergeCell ref="J20:K20"/>
    <mergeCell ref="C16:E16"/>
    <mergeCell ref="G16:H16"/>
    <mergeCell ref="J16:K16"/>
    <mergeCell ref="C17:E17"/>
    <mergeCell ref="J17:K17"/>
    <mergeCell ref="G17:H17"/>
    <mergeCell ref="C13:E13"/>
    <mergeCell ref="J13:K13"/>
    <mergeCell ref="C14:E14"/>
    <mergeCell ref="J14:K14"/>
    <mergeCell ref="C15:E15"/>
    <mergeCell ref="J15:K15"/>
    <mergeCell ref="C12:E12"/>
    <mergeCell ref="G12:H12"/>
    <mergeCell ref="J12:K12"/>
    <mergeCell ref="B1:K4"/>
    <mergeCell ref="B6:B7"/>
    <mergeCell ref="C6:K7"/>
    <mergeCell ref="B9:B10"/>
    <mergeCell ref="C9:K9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598F5-F837-413E-A31D-12B26E73716D}">
  <dimension ref="B1:R39"/>
  <sheetViews>
    <sheetView rightToLeft="1" workbookViewId="0">
      <selection activeCell="I14" sqref="I14"/>
    </sheetView>
  </sheetViews>
  <sheetFormatPr defaultColWidth="9.140625" defaultRowHeight="14.25"/>
  <cols>
    <col min="1" max="1" width="7.28515625" style="1" customWidth="1"/>
    <col min="2" max="2" width="4.85546875" style="1" customWidth="1"/>
    <col min="3" max="4" width="9.140625" style="1"/>
    <col min="5" max="5" width="11.5703125" style="1" customWidth="1"/>
    <col min="6" max="6" width="10.7109375" style="1" customWidth="1"/>
    <col min="7" max="7" width="5.7109375" style="1" customWidth="1"/>
    <col min="8" max="8" width="0.5703125" style="1" hidden="1" customWidth="1"/>
    <col min="9" max="9" width="14.42578125" style="1" bestFit="1" customWidth="1"/>
    <col min="10" max="10" width="9.140625" style="1"/>
    <col min="11" max="11" width="8.5703125" style="1" customWidth="1"/>
    <col min="12" max="14" width="9.140625" style="1"/>
    <col min="15" max="15" width="16.140625" style="1" bestFit="1" customWidth="1"/>
    <col min="16" max="16384" width="9.140625" style="1"/>
  </cols>
  <sheetData>
    <row r="1" spans="2:11">
      <c r="B1" s="29" t="s">
        <v>9</v>
      </c>
      <c r="C1" s="30"/>
      <c r="D1" s="30"/>
      <c r="E1" s="30"/>
      <c r="F1" s="30"/>
      <c r="G1" s="30"/>
      <c r="H1" s="30"/>
      <c r="I1" s="30"/>
      <c r="J1" s="30"/>
      <c r="K1" s="31"/>
    </row>
    <row r="2" spans="2:11" ht="10.5" customHeight="1">
      <c r="B2" s="32"/>
      <c r="C2" s="33"/>
      <c r="D2" s="33"/>
      <c r="E2" s="33"/>
      <c r="F2" s="33"/>
      <c r="G2" s="33"/>
      <c r="H2" s="33"/>
      <c r="I2" s="33"/>
      <c r="J2" s="33"/>
      <c r="K2" s="34"/>
    </row>
    <row r="3" spans="2:11" ht="17.100000000000001" hidden="1" customHeight="1">
      <c r="B3" s="32"/>
      <c r="C3" s="33"/>
      <c r="D3" s="33"/>
      <c r="E3" s="33"/>
      <c r="F3" s="33"/>
      <c r="G3" s="33"/>
      <c r="H3" s="33"/>
      <c r="I3" s="33"/>
      <c r="J3" s="33"/>
      <c r="K3" s="34"/>
    </row>
    <row r="4" spans="2:11" ht="6.75" hidden="1" customHeight="1">
      <c r="B4" s="35"/>
      <c r="C4" s="36"/>
      <c r="D4" s="36"/>
      <c r="E4" s="36"/>
      <c r="F4" s="36"/>
      <c r="G4" s="36"/>
      <c r="H4" s="36"/>
      <c r="I4" s="36"/>
      <c r="J4" s="36"/>
      <c r="K4" s="37"/>
    </row>
    <row r="5" spans="2:11" ht="3.75" hidden="1" customHeight="1">
      <c r="B5" s="6"/>
      <c r="K5" s="7"/>
    </row>
    <row r="6" spans="2:11" ht="30" customHeight="1">
      <c r="B6" s="38" t="s">
        <v>0</v>
      </c>
      <c r="C6" s="40" t="s">
        <v>60</v>
      </c>
      <c r="D6" s="41"/>
      <c r="E6" s="41"/>
      <c r="F6" s="41"/>
      <c r="G6" s="41"/>
      <c r="H6" s="41"/>
      <c r="I6" s="41"/>
      <c r="J6" s="41"/>
      <c r="K6" s="42"/>
    </row>
    <row r="7" spans="2:11" ht="45.75" customHeight="1">
      <c r="B7" s="39"/>
      <c r="C7" s="43"/>
      <c r="D7" s="44"/>
      <c r="E7" s="44"/>
      <c r="F7" s="44"/>
      <c r="G7" s="44"/>
      <c r="H7" s="44"/>
      <c r="I7" s="44"/>
      <c r="J7" s="44"/>
      <c r="K7" s="45"/>
    </row>
    <row r="8" spans="2:11" ht="5.25" customHeight="1">
      <c r="B8" s="6"/>
      <c r="K8" s="7"/>
    </row>
    <row r="9" spans="2:11" ht="24" customHeight="1">
      <c r="B9" s="38" t="s">
        <v>1</v>
      </c>
      <c r="C9" s="46" t="s">
        <v>59</v>
      </c>
      <c r="D9" s="47"/>
      <c r="E9" s="47"/>
      <c r="F9" s="47"/>
      <c r="G9" s="47"/>
      <c r="H9" s="47"/>
      <c r="I9" s="47"/>
      <c r="J9" s="47"/>
      <c r="K9" s="48"/>
    </row>
    <row r="10" spans="2:11" ht="3.75" customHeight="1">
      <c r="B10" s="39"/>
      <c r="C10" s="3"/>
      <c r="D10" s="2"/>
      <c r="E10" s="2"/>
      <c r="F10" s="2"/>
      <c r="G10" s="2"/>
      <c r="H10" s="2"/>
      <c r="I10" s="2"/>
      <c r="J10" s="2"/>
      <c r="K10" s="8"/>
    </row>
    <row r="11" spans="2:11" ht="9.75" customHeight="1">
      <c r="B11" s="6"/>
      <c r="K11" s="7"/>
    </row>
    <row r="12" spans="2:11" ht="21" customHeight="1">
      <c r="B12" s="9" t="s">
        <v>2</v>
      </c>
      <c r="C12" s="19" t="s">
        <v>5</v>
      </c>
      <c r="D12" s="19"/>
      <c r="E12" s="19"/>
      <c r="F12" s="4" t="s">
        <v>6</v>
      </c>
      <c r="G12" s="19" t="s">
        <v>16</v>
      </c>
      <c r="H12" s="19"/>
      <c r="I12" s="4" t="s">
        <v>11</v>
      </c>
      <c r="J12" s="19" t="s">
        <v>12</v>
      </c>
      <c r="K12" s="28"/>
    </row>
    <row r="13" spans="2:11" ht="26.25" customHeight="1">
      <c r="B13" s="9">
        <v>1</v>
      </c>
      <c r="C13" s="67" t="s">
        <v>73</v>
      </c>
      <c r="D13" s="68"/>
      <c r="E13" s="69"/>
      <c r="F13" s="4">
        <v>1</v>
      </c>
      <c r="G13" s="4" t="s">
        <v>13</v>
      </c>
      <c r="H13" s="4"/>
      <c r="I13" s="5">
        <v>4500000</v>
      </c>
      <c r="J13" s="23">
        <f t="shared" ref="J13:J22" si="0">F13*I13</f>
        <v>4500000</v>
      </c>
      <c r="K13" s="24"/>
    </row>
    <row r="14" spans="2:11" ht="29.25" customHeight="1">
      <c r="B14" s="9">
        <v>2</v>
      </c>
      <c r="C14" s="20" t="s">
        <v>61</v>
      </c>
      <c r="D14" s="21"/>
      <c r="E14" s="22"/>
      <c r="F14" s="4">
        <v>1</v>
      </c>
      <c r="G14" s="4" t="s">
        <v>13</v>
      </c>
      <c r="H14" s="4"/>
      <c r="I14" s="5">
        <v>10000000</v>
      </c>
      <c r="J14" s="23">
        <f t="shared" si="0"/>
        <v>10000000</v>
      </c>
      <c r="K14" s="24"/>
    </row>
    <row r="15" spans="2:11" ht="28.5" customHeight="1">
      <c r="B15" s="9">
        <v>3</v>
      </c>
      <c r="C15" s="20" t="s">
        <v>62</v>
      </c>
      <c r="D15" s="21"/>
      <c r="E15" s="22"/>
      <c r="F15" s="4">
        <v>2</v>
      </c>
      <c r="G15" s="4" t="s">
        <v>13</v>
      </c>
      <c r="H15" s="4"/>
      <c r="I15" s="5">
        <v>28000000</v>
      </c>
      <c r="J15" s="23">
        <f t="shared" si="0"/>
        <v>56000000</v>
      </c>
      <c r="K15" s="24"/>
    </row>
    <row r="16" spans="2:11" ht="27" customHeight="1">
      <c r="B16" s="9">
        <v>4</v>
      </c>
      <c r="C16" s="20" t="s">
        <v>63</v>
      </c>
      <c r="D16" s="21"/>
      <c r="E16" s="22"/>
      <c r="F16" s="4">
        <v>2</v>
      </c>
      <c r="G16" s="4" t="s">
        <v>13</v>
      </c>
      <c r="H16" s="4"/>
      <c r="I16" s="5">
        <v>122000000</v>
      </c>
      <c r="J16" s="23">
        <f t="shared" si="0"/>
        <v>244000000</v>
      </c>
      <c r="K16" s="24"/>
    </row>
    <row r="17" spans="2:18" ht="33.75" customHeight="1">
      <c r="B17" s="9">
        <v>5</v>
      </c>
      <c r="C17" s="20" t="s">
        <v>70</v>
      </c>
      <c r="D17" s="21"/>
      <c r="E17" s="22"/>
      <c r="F17" s="4">
        <v>2</v>
      </c>
      <c r="G17" s="15" t="s">
        <v>13</v>
      </c>
      <c r="H17" s="17"/>
      <c r="I17" s="5">
        <v>69000000</v>
      </c>
      <c r="J17" s="23">
        <f t="shared" si="0"/>
        <v>138000000</v>
      </c>
      <c r="K17" s="24"/>
    </row>
    <row r="18" spans="2:18" ht="21" customHeight="1">
      <c r="B18" s="9">
        <v>6</v>
      </c>
      <c r="C18" s="15" t="s">
        <v>64</v>
      </c>
      <c r="D18" s="16"/>
      <c r="E18" s="17"/>
      <c r="F18" s="4">
        <v>2</v>
      </c>
      <c r="G18" s="15" t="s">
        <v>13</v>
      </c>
      <c r="H18" s="17"/>
      <c r="I18" s="5">
        <v>30000000</v>
      </c>
      <c r="J18" s="23">
        <f t="shared" si="0"/>
        <v>60000000</v>
      </c>
      <c r="K18" s="24"/>
      <c r="O18" s="13"/>
      <c r="R18" s="10"/>
    </row>
    <row r="19" spans="2:18" ht="21" customHeight="1">
      <c r="B19" s="9">
        <v>7</v>
      </c>
      <c r="C19" s="15" t="s">
        <v>65</v>
      </c>
      <c r="D19" s="16"/>
      <c r="E19" s="17"/>
      <c r="F19" s="4">
        <v>2</v>
      </c>
      <c r="G19" s="15" t="s">
        <v>13</v>
      </c>
      <c r="H19" s="17"/>
      <c r="I19" s="5">
        <v>17500000</v>
      </c>
      <c r="J19" s="23">
        <f t="shared" si="0"/>
        <v>35000000</v>
      </c>
      <c r="K19" s="24"/>
    </row>
    <row r="20" spans="2:18" ht="24.75" customHeight="1">
      <c r="B20" s="9">
        <v>8</v>
      </c>
      <c r="C20" s="15" t="s">
        <v>66</v>
      </c>
      <c r="D20" s="16"/>
      <c r="E20" s="17"/>
      <c r="F20" s="4">
        <v>305</v>
      </c>
      <c r="G20" s="15" t="s">
        <v>17</v>
      </c>
      <c r="H20" s="17"/>
      <c r="I20" s="5">
        <v>400000</v>
      </c>
      <c r="J20" s="23">
        <f t="shared" si="0"/>
        <v>122000000</v>
      </c>
      <c r="K20" s="24"/>
    </row>
    <row r="21" spans="2:18" ht="29.25" customHeight="1">
      <c r="B21" s="9">
        <v>9</v>
      </c>
      <c r="C21" s="15" t="s">
        <v>67</v>
      </c>
      <c r="D21" s="16"/>
      <c r="E21" s="17"/>
      <c r="F21" s="12">
        <v>6</v>
      </c>
      <c r="G21" s="15" t="s">
        <v>13</v>
      </c>
      <c r="H21" s="17"/>
      <c r="I21" s="5">
        <v>78430000</v>
      </c>
      <c r="J21" s="23">
        <f t="shared" si="0"/>
        <v>470580000</v>
      </c>
      <c r="K21" s="24"/>
      <c r="O21" s="13"/>
    </row>
    <row r="22" spans="2:18" ht="21" customHeight="1">
      <c r="B22" s="9"/>
      <c r="C22" s="15"/>
      <c r="D22" s="16"/>
      <c r="E22" s="17"/>
      <c r="F22" s="12"/>
      <c r="G22" s="14"/>
      <c r="H22" s="12"/>
      <c r="I22" s="5"/>
      <c r="J22" s="23">
        <f t="shared" si="0"/>
        <v>0</v>
      </c>
      <c r="K22" s="24"/>
      <c r="O22" s="13"/>
    </row>
    <row r="23" spans="2:18" ht="23.25" customHeight="1">
      <c r="B23" s="18" t="s">
        <v>7</v>
      </c>
      <c r="C23" s="19"/>
      <c r="D23" s="19"/>
      <c r="E23" s="19"/>
      <c r="F23" s="19"/>
      <c r="G23" s="19"/>
      <c r="H23" s="19"/>
      <c r="I23" s="19"/>
      <c r="J23" s="23">
        <f>SUM(J13:K22)</f>
        <v>1140080000</v>
      </c>
      <c r="K23" s="24"/>
    </row>
    <row r="24" spans="2:18" ht="23.25" customHeight="1">
      <c r="B24" s="18" t="s">
        <v>8</v>
      </c>
      <c r="C24" s="19"/>
      <c r="D24" s="19"/>
      <c r="E24" s="19"/>
      <c r="F24" s="19"/>
      <c r="G24" s="19"/>
      <c r="H24" s="19"/>
      <c r="I24" s="19"/>
      <c r="J24" s="55">
        <f>J23*0.1</f>
        <v>114008000</v>
      </c>
      <c r="K24" s="56"/>
    </row>
    <row r="25" spans="2:18" ht="25.5" customHeight="1">
      <c r="B25" s="18" t="s">
        <v>15</v>
      </c>
      <c r="C25" s="19"/>
      <c r="D25" s="19"/>
      <c r="E25" s="19"/>
      <c r="F25" s="19"/>
      <c r="G25" s="19"/>
      <c r="H25" s="19"/>
      <c r="I25" s="19"/>
      <c r="J25" s="55">
        <f>J23+J24</f>
        <v>1254088000</v>
      </c>
      <c r="K25" s="56"/>
    </row>
    <row r="26" spans="2:18" ht="13.5" customHeight="1">
      <c r="B26" s="6"/>
      <c r="K26" s="7"/>
    </row>
    <row r="27" spans="2:18" ht="20.25" customHeight="1">
      <c r="B27" s="57" t="s">
        <v>3</v>
      </c>
      <c r="C27" s="58"/>
      <c r="D27" s="58"/>
      <c r="E27" s="58"/>
      <c r="F27" s="58"/>
      <c r="G27" s="58"/>
      <c r="H27" s="58"/>
      <c r="I27" s="58"/>
      <c r="J27" s="58"/>
      <c r="K27" s="59"/>
    </row>
    <row r="28" spans="2:18" ht="21" customHeight="1">
      <c r="B28" s="60" t="s">
        <v>58</v>
      </c>
      <c r="C28" s="61"/>
      <c r="D28" s="61"/>
      <c r="E28" s="61"/>
      <c r="F28" s="61"/>
      <c r="G28" s="61"/>
      <c r="H28" s="61"/>
      <c r="I28" s="61"/>
      <c r="J28" s="61"/>
      <c r="K28" s="62"/>
    </row>
    <row r="29" spans="2:18">
      <c r="B29" s="63"/>
      <c r="C29" s="61"/>
      <c r="D29" s="61"/>
      <c r="E29" s="61"/>
      <c r="F29" s="61"/>
      <c r="G29" s="61"/>
      <c r="H29" s="61"/>
      <c r="I29" s="61"/>
      <c r="J29" s="61"/>
      <c r="K29" s="62"/>
    </row>
    <row r="30" spans="2:18" ht="14.25" customHeight="1">
      <c r="B30" s="63"/>
      <c r="C30" s="61"/>
      <c r="D30" s="61"/>
      <c r="E30" s="61"/>
      <c r="F30" s="61"/>
      <c r="G30" s="61"/>
      <c r="H30" s="61"/>
      <c r="I30" s="61"/>
      <c r="J30" s="61"/>
      <c r="K30" s="62"/>
    </row>
    <row r="31" spans="2:18" ht="9.6" hidden="1" customHeight="1">
      <c r="B31" s="63"/>
      <c r="C31" s="61"/>
      <c r="D31" s="61"/>
      <c r="E31" s="61"/>
      <c r="F31" s="61"/>
      <c r="G31" s="61"/>
      <c r="H31" s="61"/>
      <c r="I31" s="61"/>
      <c r="J31" s="61"/>
      <c r="K31" s="62"/>
    </row>
    <row r="32" spans="2:18" ht="0.75" customHeight="1">
      <c r="B32" s="6"/>
      <c r="K32" s="7"/>
    </row>
    <row r="33" spans="2:11" ht="21.75" customHeight="1">
      <c r="B33" s="52" t="s">
        <v>4</v>
      </c>
      <c r="C33" s="53"/>
      <c r="D33" s="53"/>
      <c r="E33" s="53"/>
      <c r="F33" s="53"/>
      <c r="G33" s="53"/>
      <c r="H33" s="53"/>
      <c r="I33" s="53"/>
      <c r="J33" s="53"/>
      <c r="K33" s="54"/>
    </row>
    <row r="34" spans="2:11" ht="72.75" customHeight="1" thickBot="1">
      <c r="B34" s="49" t="s">
        <v>14</v>
      </c>
      <c r="C34" s="50"/>
      <c r="D34" s="50"/>
      <c r="E34" s="50"/>
      <c r="F34" s="50"/>
      <c r="G34" s="50"/>
      <c r="H34" s="50"/>
      <c r="I34" s="50"/>
      <c r="J34" s="50"/>
      <c r="K34" s="51"/>
    </row>
    <row r="39" spans="2:11" ht="15">
      <c r="H39"/>
    </row>
  </sheetData>
  <mergeCells count="43">
    <mergeCell ref="B33:K33"/>
    <mergeCell ref="B34:K34"/>
    <mergeCell ref="B24:I24"/>
    <mergeCell ref="J24:K24"/>
    <mergeCell ref="B25:I25"/>
    <mergeCell ref="J25:K25"/>
    <mergeCell ref="B27:K27"/>
    <mergeCell ref="B28:K31"/>
    <mergeCell ref="B23:I23"/>
    <mergeCell ref="J23:K23"/>
    <mergeCell ref="C19:E19"/>
    <mergeCell ref="G19:H19"/>
    <mergeCell ref="J19:K19"/>
    <mergeCell ref="C20:E20"/>
    <mergeCell ref="G20:H20"/>
    <mergeCell ref="J20:K20"/>
    <mergeCell ref="C21:E21"/>
    <mergeCell ref="G21:H21"/>
    <mergeCell ref="J21:K21"/>
    <mergeCell ref="C22:E22"/>
    <mergeCell ref="J22:K22"/>
    <mergeCell ref="C18:E18"/>
    <mergeCell ref="G18:H18"/>
    <mergeCell ref="J18:K18"/>
    <mergeCell ref="C13:E13"/>
    <mergeCell ref="J13:K13"/>
    <mergeCell ref="C14:E14"/>
    <mergeCell ref="J14:K14"/>
    <mergeCell ref="C15:E15"/>
    <mergeCell ref="J15:K15"/>
    <mergeCell ref="C16:E16"/>
    <mergeCell ref="J16:K16"/>
    <mergeCell ref="C17:E17"/>
    <mergeCell ref="G17:H17"/>
    <mergeCell ref="J17:K17"/>
    <mergeCell ref="C12:E12"/>
    <mergeCell ref="G12:H12"/>
    <mergeCell ref="J12:K12"/>
    <mergeCell ref="B1:K4"/>
    <mergeCell ref="B6:B7"/>
    <mergeCell ref="C6:K7"/>
    <mergeCell ref="B9:B10"/>
    <mergeCell ref="C9:K9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Sheet3</vt:lpstr>
      <vt:lpstr>Sheet4</vt:lpstr>
      <vt:lpstr>Sheet5</vt:lpstr>
      <vt:lpstr>Sheet6</vt:lpstr>
      <vt:lpstr>Sheet7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MahdiA</dc:creator>
  <cp:lastModifiedBy>mansoursafari2@gmail.com</cp:lastModifiedBy>
  <cp:lastPrinted>2025-07-21T10:10:55Z</cp:lastPrinted>
  <dcterms:created xsi:type="dcterms:W3CDTF">2016-06-23T04:23:22Z</dcterms:created>
  <dcterms:modified xsi:type="dcterms:W3CDTF">2025-07-27T11:35:49Z</dcterms:modified>
</cp:coreProperties>
</file>