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definedNames>
    <definedName name="sheet1" localSheetId="0">Sheet1!$B$1:$K$4</definedName>
    <definedName name="sheet2" localSheetId="1">Sheet2!$A$1:$E$4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L9" i="1"/>
  <c r="N9" i="1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D:\mohammadi\ghoboz\فاکتورهای سیستمی\1404\خرداد-1040103\صورت حساب متفرقه-خرداد\1\اکسل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D:\mohammadi\ghoboz\فاکتورهای سیستمی\1404\خرداد-1040103\صورت حساب متفرقه-خرداد\1\اکسل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<sst xmlns="http://schemas.openxmlformats.org/spreadsheetml/2006/main" count="142" uniqueCount="61">
  <si>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</si>
  <si>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</si>
  <si>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</si>
  <si>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</si>
  <si>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</si>
  <si>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</si>
  <si>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</si>
  <si>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</si>
  <si>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</si>
  <si>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</si>
  <si>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</si>
  <si>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</si>
  <si>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</si>
  <si>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</si>
  <si>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14023473</t>
  </si>
  <si>
    <t>1404/04/01</t>
  </si>
  <si>
    <t>10:00</t>
  </si>
  <si>
    <t>2</t>
  </si>
  <si>
    <t>صنعتی سپیدان سلامت پارس</t>
  </si>
  <si>
    <t>10530499690</t>
  </si>
  <si>
    <t>7364151561</t>
  </si>
  <si>
    <t>14023472</t>
  </si>
  <si>
    <t>1404/03/10</t>
  </si>
  <si>
    <t>شهرداري شيراز</t>
  </si>
  <si>
    <t>14002091671</t>
  </si>
  <si>
    <t>7136618947</t>
  </si>
  <si>
    <t>14023471</t>
  </si>
  <si>
    <t>1404/03/13</t>
  </si>
  <si>
    <t>نیروترانس</t>
  </si>
  <si>
    <t>10101260035</t>
  </si>
  <si>
    <t>7159913846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</si>
  <si>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</si>
  <si>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</si>
  <si>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</si>
  <si>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</si>
  <si>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</si>
  <si>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</si>
  <si>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</si>
  <si>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</si>
  <si>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</si>
  <si>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</si>
  <si>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6</t>
  </si>
  <si>
    <t>3</t>
  </si>
  <si>
    <t>12</t>
  </si>
  <si>
    <t>ردیف</t>
  </si>
  <si>
    <t>14023073</t>
  </si>
  <si>
    <t>1404/03/31</t>
  </si>
  <si>
    <t>طراحی و مهندسی صنایع پتروشیمی</t>
  </si>
  <si>
    <t>10530162157</t>
  </si>
  <si>
    <t>7143667438</t>
  </si>
  <si>
    <t>14023590</t>
  </si>
  <si>
    <t>14023589</t>
  </si>
  <si>
    <t>1404/04/04</t>
  </si>
  <si>
    <t>راه آهن جمهوری اسلامی ایران-اداره کل راه آهن فارس</t>
  </si>
  <si>
    <t>10101155744</t>
  </si>
  <si>
    <t>7198835197</t>
  </si>
  <si>
    <t>14023588</t>
  </si>
  <si>
    <t>1404/04/10</t>
  </si>
  <si>
    <t>سیمان فارس</t>
  </si>
  <si>
    <t>10861051155</t>
  </si>
  <si>
    <t>7188746847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</si>
</sst>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zoomScale="80" zoomScaleNormal="80" workbookViewId="0">
      <selection activeCell="C20" sqref="C20"/>
    </sheetView>
  </sheetViews>
  <sheetFormatPr defaultRowHeight="14.5" x14ac:dyDescent="0.35"/>
  <cols>
    <col min="1" max="1" width="4.54296875" style="1" bestFit="1" customWidth="1"/>
    <col min="2" max="2" width="16.08984375" style="1" bestFit="1" customWidth="1"/>
    <col min="3" max="3" width="9" style="1" bestFit="1" customWidth="1"/>
    <col min="4" max="4" width="10.6328125" style="2" bestFit="1" customWidth="1"/>
    <col min="5" max="5" width="5.453125" style="2" bestFit="1" customWidth="1"/>
    <col min="6" max="6" width="13.453125" style="2" bestFit="1" customWidth="1"/>
    <col min="7" max="7" width="13.6328125" style="2" bestFit="1" customWidth="1"/>
    <col min="8" max="8" width="35.81640625" style="2" bestFit="1" customWidth="1"/>
    <col min="9" max="9" width="16.36328125" style="2" bestFit="1" customWidth="1"/>
    <col min="10" max="10" width="16.54296875" style="2" bestFit="1" customWidth="1"/>
    <col min="11" max="11" width="11.90625" style="2" bestFit="1" customWidth="1"/>
    <col min="12" max="12" width="12.54296875" style="1" bestFit="1" customWidth="1"/>
    <col min="13" max="13" width="7.7265625" style="1" bestFit="1" customWidth="1"/>
    <col min="14" max="14" width="15.90625" style="1" bestFit="1" customWidth="1"/>
    <col min="15" max="16384" width="8.7265625" style="1"/>
  </cols>
  <sheetData>
    <row r="1" spans="1:14" x14ac:dyDescent="0.35">
      <c r="A1" s="7" t="s">
        <v>44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</row>
    <row r="2" spans="1:14" x14ac:dyDescent="0.35">
      <c r="A2" s="7">
        <v>1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13</v>
      </c>
      <c r="G2" s="8" t="s">
        <v>17</v>
      </c>
      <c r="H2" s="8" t="s">
        <v>18</v>
      </c>
      <c r="I2" s="8" t="s">
        <v>19</v>
      </c>
      <c r="J2" s="8" t="s">
        <v>19</v>
      </c>
      <c r="K2" s="8" t="s">
        <v>20</v>
      </c>
      <c r="L2" s="9">
        <v>243002025</v>
      </c>
      <c r="M2" s="9">
        <v>0</v>
      </c>
      <c r="N2" s="9">
        <v>267302227.5</v>
      </c>
    </row>
    <row r="3" spans="1:14" x14ac:dyDescent="0.35">
      <c r="A3" s="7">
        <v>2</v>
      </c>
      <c r="B3" s="8" t="s">
        <v>13</v>
      </c>
      <c r="C3" s="8" t="s">
        <v>21</v>
      </c>
      <c r="D3" s="8" t="s">
        <v>22</v>
      </c>
      <c r="E3" s="8" t="s">
        <v>16</v>
      </c>
      <c r="F3" s="8" t="s">
        <v>13</v>
      </c>
      <c r="G3" s="8" t="s">
        <v>17</v>
      </c>
      <c r="H3" s="8" t="s">
        <v>23</v>
      </c>
      <c r="I3" s="8" t="s">
        <v>24</v>
      </c>
      <c r="J3" s="8" t="s">
        <v>24</v>
      </c>
      <c r="K3" s="8" t="s">
        <v>25</v>
      </c>
      <c r="L3" s="9">
        <v>39314654</v>
      </c>
      <c r="M3" s="9">
        <v>0</v>
      </c>
      <c r="N3" s="9">
        <v>43246119.399999999</v>
      </c>
    </row>
    <row r="4" spans="1:14" x14ac:dyDescent="0.35">
      <c r="A4" s="7">
        <v>3</v>
      </c>
      <c r="B4" s="8" t="s">
        <v>13</v>
      </c>
      <c r="C4" s="8" t="s">
        <v>26</v>
      </c>
      <c r="D4" s="8" t="s">
        <v>27</v>
      </c>
      <c r="E4" s="8" t="s">
        <v>16</v>
      </c>
      <c r="F4" s="8" t="s">
        <v>13</v>
      </c>
      <c r="G4" s="8" t="s">
        <v>17</v>
      </c>
      <c r="H4" s="8" t="s">
        <v>28</v>
      </c>
      <c r="I4" s="8" t="s">
        <v>29</v>
      </c>
      <c r="J4" s="8" t="s">
        <v>29</v>
      </c>
      <c r="K4" s="8" t="s">
        <v>30</v>
      </c>
      <c r="L4" s="9">
        <v>48000000</v>
      </c>
      <c r="M4" s="9">
        <v>0</v>
      </c>
      <c r="N4" s="9">
        <v>52800000</v>
      </c>
    </row>
    <row r="5" spans="1:14" x14ac:dyDescent="0.35">
      <c r="A5" s="7">
        <v>4</v>
      </c>
      <c r="B5" s="8" t="s">
        <v>13</v>
      </c>
      <c r="C5" s="8" t="s">
        <v>45</v>
      </c>
      <c r="D5" s="8" t="s">
        <v>46</v>
      </c>
      <c r="E5" s="8" t="s">
        <v>16</v>
      </c>
      <c r="F5" s="8" t="s">
        <v>13</v>
      </c>
      <c r="G5" s="8" t="s">
        <v>17</v>
      </c>
      <c r="H5" s="8" t="s">
        <v>47</v>
      </c>
      <c r="I5" s="8" t="s">
        <v>48</v>
      </c>
      <c r="J5" s="8" t="s">
        <v>48</v>
      </c>
      <c r="K5" s="8" t="s">
        <v>49</v>
      </c>
      <c r="L5" s="9">
        <v>3379200000</v>
      </c>
      <c r="M5" s="9">
        <v>0</v>
      </c>
      <c r="N5" s="9">
        <v>3717120000</v>
      </c>
    </row>
    <row r="6" spans="1:14" x14ac:dyDescent="0.35">
      <c r="A6" s="7">
        <v>5</v>
      </c>
      <c r="B6" s="8" t="s">
        <v>13</v>
      </c>
      <c r="C6" s="8" t="s">
        <v>50</v>
      </c>
      <c r="D6" s="8" t="s">
        <v>46</v>
      </c>
      <c r="E6" s="8" t="s">
        <v>16</v>
      </c>
      <c r="F6" s="8" t="s">
        <v>13</v>
      </c>
      <c r="G6" s="8" t="s">
        <v>17</v>
      </c>
      <c r="H6" s="8" t="s">
        <v>28</v>
      </c>
      <c r="I6" s="8" t="s">
        <v>29</v>
      </c>
      <c r="J6" s="8" t="s">
        <v>29</v>
      </c>
      <c r="K6" s="8" t="s">
        <v>30</v>
      </c>
      <c r="L6" s="9">
        <v>133200000</v>
      </c>
      <c r="M6" s="9">
        <v>0</v>
      </c>
      <c r="N6" s="9">
        <v>146520000</v>
      </c>
    </row>
    <row r="7" spans="1:14" x14ac:dyDescent="0.35">
      <c r="A7" s="7">
        <v>6</v>
      </c>
      <c r="B7" s="8" t="s">
        <v>13</v>
      </c>
      <c r="C7" s="8" t="s">
        <v>51</v>
      </c>
      <c r="D7" s="8" t="s">
        <v>52</v>
      </c>
      <c r="E7" s="8" t="s">
        <v>16</v>
      </c>
      <c r="F7" s="8" t="s">
        <v>13</v>
      </c>
      <c r="G7" s="8" t="s">
        <v>17</v>
      </c>
      <c r="H7" s="8" t="s">
        <v>53</v>
      </c>
      <c r="I7" s="8" t="s">
        <v>54</v>
      </c>
      <c r="J7" s="8" t="s">
        <v>54</v>
      </c>
      <c r="K7" s="8" t="s">
        <v>55</v>
      </c>
      <c r="L7" s="9">
        <v>135900000</v>
      </c>
      <c r="M7" s="9">
        <v>0</v>
      </c>
      <c r="N7" s="9">
        <v>149490000</v>
      </c>
    </row>
    <row r="8" spans="1:14" x14ac:dyDescent="0.35">
      <c r="A8" s="7">
        <v>7</v>
      </c>
      <c r="B8" s="8" t="s">
        <v>13</v>
      </c>
      <c r="C8" s="8" t="s">
        <v>56</v>
      </c>
      <c r="D8" s="8" t="s">
        <v>57</v>
      </c>
      <c r="E8" s="8" t="s">
        <v>16</v>
      </c>
      <c r="F8" s="8" t="s">
        <v>13</v>
      </c>
      <c r="G8" s="8" t="s">
        <v>17</v>
      </c>
      <c r="H8" s="8" t="s">
        <v>58</v>
      </c>
      <c r="I8" s="8" t="s">
        <v>59</v>
      </c>
      <c r="J8" s="8" t="s">
        <v>59</v>
      </c>
      <c r="K8" s="8" t="s">
        <v>60</v>
      </c>
      <c r="L8" s="9">
        <v>1135600014</v>
      </c>
      <c r="M8" s="9">
        <v>0</v>
      </c>
      <c r="N8" s="9">
        <v>1249160015.4000001</v>
      </c>
    </row>
    <row r="9" spans="1:14" x14ac:dyDescent="0.35">
      <c r="L9" s="5">
        <f>SUM(L2:L8)</f>
        <v>5114216693</v>
      </c>
      <c r="N9" s="6">
        <f>SUM(N2:N8)</f>
        <v>5625638362.2999992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O10" sqref="O10"/>
    </sheetView>
  </sheetViews>
  <sheetFormatPr defaultRowHeight="14.5" x14ac:dyDescent="0.35"/>
  <cols>
    <col min="1" max="1" width="8.81640625" style="1" bestFit="1" customWidth="1"/>
    <col min="2" max="2" width="13.90625" style="1" bestFit="1" customWidth="1"/>
    <col min="3" max="3" width="12.08984375" style="1" bestFit="1" customWidth="1"/>
    <col min="4" max="4" width="6.453125" style="1" bestFit="1" customWidth="1"/>
    <col min="5" max="5" width="4.36328125" style="1" bestFit="1" customWidth="1"/>
    <col min="6" max="7" width="10.7265625" style="1" bestFit="1" customWidth="1"/>
    <col min="8" max="8" width="9.453125" style="1" bestFit="1" customWidth="1"/>
    <col min="9" max="16384" width="8.7265625" style="1"/>
  </cols>
  <sheetData>
    <row r="1" spans="1:8" x14ac:dyDescent="0.35">
      <c r="A1" s="3" t="s">
        <v>1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x14ac:dyDescent="0.35">
      <c r="A2" s="3" t="s">
        <v>14</v>
      </c>
      <c r="B2" s="3" t="s">
        <v>38</v>
      </c>
      <c r="C2" s="3" t="s">
        <v>39</v>
      </c>
      <c r="D2" s="3" t="s">
        <v>40</v>
      </c>
      <c r="E2" s="3" t="s">
        <v>41</v>
      </c>
      <c r="F2" s="4">
        <v>45943240</v>
      </c>
      <c r="G2" s="4">
        <v>32657415</v>
      </c>
      <c r="H2" s="4">
        <v>10</v>
      </c>
    </row>
    <row r="3" spans="1:8" x14ac:dyDescent="0.35">
      <c r="A3" s="3" t="s">
        <v>21</v>
      </c>
      <c r="B3" s="3" t="s">
        <v>38</v>
      </c>
      <c r="C3" s="3" t="s">
        <v>39</v>
      </c>
      <c r="D3" s="3" t="s">
        <v>40</v>
      </c>
      <c r="E3" s="3" t="s">
        <v>42</v>
      </c>
      <c r="F3" s="4">
        <v>17560545</v>
      </c>
      <c r="G3" s="4">
        <v>13366981</v>
      </c>
      <c r="H3" s="4">
        <v>10</v>
      </c>
    </row>
    <row r="4" spans="1:8" x14ac:dyDescent="0.35">
      <c r="A4" s="3" t="s">
        <v>26</v>
      </c>
      <c r="B4" s="3" t="s">
        <v>38</v>
      </c>
      <c r="C4" s="3" t="s">
        <v>39</v>
      </c>
      <c r="D4" s="3" t="s">
        <v>40</v>
      </c>
      <c r="E4" s="3" t="s">
        <v>43</v>
      </c>
      <c r="F4" s="4">
        <v>6000000</v>
      </c>
      <c r="G4" s="4">
        <v>24000000</v>
      </c>
      <c r="H4" s="4">
        <v>10</v>
      </c>
    </row>
    <row r="5" spans="1:8" x14ac:dyDescent="0.35">
      <c r="A5" s="3" t="s">
        <v>45</v>
      </c>
      <c r="B5" s="3" t="s">
        <v>38</v>
      </c>
      <c r="C5" s="3" t="s">
        <v>39</v>
      </c>
      <c r="D5" s="3" t="s">
        <v>40</v>
      </c>
      <c r="E5" s="3" t="s">
        <v>43</v>
      </c>
      <c r="F5" s="4">
        <v>281600000</v>
      </c>
      <c r="G5" s="4">
        <v>0</v>
      </c>
      <c r="H5" s="4">
        <v>10</v>
      </c>
    </row>
    <row r="6" spans="1:8" x14ac:dyDescent="0.35">
      <c r="A6" s="8" t="s">
        <v>50</v>
      </c>
      <c r="B6" s="8" t="s">
        <v>38</v>
      </c>
      <c r="C6" s="8" t="s">
        <v>39</v>
      </c>
      <c r="D6" s="8" t="s">
        <v>40</v>
      </c>
      <c r="E6" s="8" t="s">
        <v>13</v>
      </c>
      <c r="F6" s="9">
        <v>133200000</v>
      </c>
      <c r="G6" s="9">
        <v>0</v>
      </c>
      <c r="H6" s="9">
        <v>10</v>
      </c>
    </row>
    <row r="7" spans="1:8" x14ac:dyDescent="0.35">
      <c r="A7" s="8" t="s">
        <v>51</v>
      </c>
      <c r="B7" s="8" t="s">
        <v>38</v>
      </c>
      <c r="C7" s="8" t="s">
        <v>39</v>
      </c>
      <c r="D7" s="8" t="s">
        <v>40</v>
      </c>
      <c r="E7" s="8" t="s">
        <v>42</v>
      </c>
      <c r="F7" s="9">
        <v>45943240</v>
      </c>
      <c r="G7" s="9">
        <v>47829720</v>
      </c>
      <c r="H7" s="9">
        <v>10</v>
      </c>
    </row>
    <row r="8" spans="1:8" x14ac:dyDescent="0.35">
      <c r="A8" s="8" t="s">
        <v>51</v>
      </c>
      <c r="B8" s="8" t="s">
        <v>38</v>
      </c>
      <c r="C8" s="8" t="s">
        <v>39</v>
      </c>
      <c r="D8" s="8" t="s">
        <v>40</v>
      </c>
      <c r="E8" s="8" t="s">
        <v>42</v>
      </c>
      <c r="F8" s="9">
        <v>17000000</v>
      </c>
      <c r="G8" s="9">
        <v>5100000</v>
      </c>
      <c r="H8" s="9">
        <v>10</v>
      </c>
    </row>
    <row r="9" spans="1:8" x14ac:dyDescent="0.35">
      <c r="A9" s="8" t="s">
        <v>56</v>
      </c>
      <c r="B9" s="8" t="s">
        <v>38</v>
      </c>
      <c r="C9" s="8" t="s">
        <v>39</v>
      </c>
      <c r="D9" s="8" t="s">
        <v>40</v>
      </c>
      <c r="E9" s="8" t="s">
        <v>43</v>
      </c>
      <c r="F9" s="9">
        <v>47525334</v>
      </c>
      <c r="G9" s="9">
        <v>144704001</v>
      </c>
      <c r="H9" s="9">
        <v>10</v>
      </c>
    </row>
    <row r="10" spans="1:8" x14ac:dyDescent="0.35">
      <c r="A10" s="8" t="s">
        <v>56</v>
      </c>
      <c r="B10" s="8" t="s">
        <v>38</v>
      </c>
      <c r="C10" s="8" t="s">
        <v>39</v>
      </c>
      <c r="D10" s="8" t="s">
        <v>40</v>
      </c>
      <c r="E10" s="8" t="s">
        <v>43</v>
      </c>
      <c r="F10" s="9">
        <v>67893334</v>
      </c>
      <c r="G10" s="9">
        <v>206720001</v>
      </c>
      <c r="H10" s="9">
        <v>10</v>
      </c>
    </row>
    <row r="11" spans="1:8" x14ac:dyDescent="0.35">
      <c r="A11" s="8" t="s">
        <v>56</v>
      </c>
      <c r="B11" s="8" t="s">
        <v>38</v>
      </c>
      <c r="C11" s="8" t="s">
        <v>39</v>
      </c>
      <c r="D11" s="8" t="s">
        <v>40</v>
      </c>
      <c r="E11" s="8" t="s">
        <v>43</v>
      </c>
      <c r="F11" s="9">
        <v>17000000</v>
      </c>
      <c r="G11" s="9">
        <v>102000000</v>
      </c>
      <c r="H11" s="9">
        <v>10</v>
      </c>
    </row>
    <row r="12" spans="1:8" x14ac:dyDescent="0.35">
      <c r="G12" s="5">
        <f>SUM(G2:G11)</f>
        <v>576378118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2025-06-21T05:32:28Z</dcterms:modified>
</cp:coreProperties>
</file>