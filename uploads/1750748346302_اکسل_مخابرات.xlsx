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320"/>
  </bookViews>
  <sheets>
    <sheet name="1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4" l="1"/>
  <c r="D20" i="4" l="1"/>
  <c r="D2" i="4" l="1"/>
  <c r="D4" i="4" l="1"/>
  <c r="D9" i="4" l="1"/>
  <c r="D30" i="4" l="1"/>
  <c r="D31" i="4"/>
  <c r="D35" i="4"/>
  <c r="D36" i="4"/>
  <c r="D37" i="4"/>
  <c r="D38" i="4"/>
  <c r="D21" i="4" l="1"/>
  <c r="D22" i="4"/>
  <c r="D23" i="4"/>
  <c r="D6" i="4"/>
  <c r="D5" i="4" l="1"/>
  <c r="D7" i="4"/>
  <c r="D8" i="4"/>
  <c r="D11" i="4"/>
  <c r="D12" i="4"/>
  <c r="D3" i="4"/>
  <c r="D27" i="4" l="1"/>
  <c r="D18" i="4" l="1"/>
  <c r="D29" i="4" l="1"/>
  <c r="D34" i="4" l="1"/>
  <c r="D33" i="4"/>
  <c r="D32" i="4"/>
  <c r="D28" i="4"/>
  <c r="D26" i="4"/>
  <c r="D25" i="4"/>
  <c r="D24" i="4"/>
  <c r="D17" i="4"/>
  <c r="D16" i="4"/>
  <c r="D15" i="4"/>
  <c r="D14" i="4"/>
  <c r="D13" i="4"/>
  <c r="D39" i="4" l="1"/>
</calcChain>
</file>

<file path=xl/sharedStrings.xml><?xml version="1.0" encoding="utf-8"?>
<sst xmlns="http://schemas.openxmlformats.org/spreadsheetml/2006/main" count="42" uniqueCount="42">
  <si>
    <t>شهرستان</t>
  </si>
  <si>
    <t>شماره پرونده</t>
  </si>
  <si>
    <t>خفر</t>
  </si>
  <si>
    <t>مهر</t>
  </si>
  <si>
    <t>بوانات</t>
  </si>
  <si>
    <t>فسا</t>
  </si>
  <si>
    <t>لامرد</t>
  </si>
  <si>
    <t>فراشبند</t>
  </si>
  <si>
    <t>خنج</t>
  </si>
  <si>
    <t>گراش</t>
  </si>
  <si>
    <t>زرین دشت</t>
  </si>
  <si>
    <t>اباده طشک</t>
  </si>
  <si>
    <t>نی ریز</t>
  </si>
  <si>
    <t>مرودشت</t>
  </si>
  <si>
    <t>میمند</t>
  </si>
  <si>
    <t>فیروزاباد</t>
  </si>
  <si>
    <t>اینترانت بین استانی</t>
  </si>
  <si>
    <t>اقلید</t>
  </si>
  <si>
    <t>سده</t>
  </si>
  <si>
    <t>قطرویه</t>
  </si>
  <si>
    <t>ارسنجان</t>
  </si>
  <si>
    <t>جهرم</t>
  </si>
  <si>
    <t>اوز</t>
  </si>
  <si>
    <t>نوراباد</t>
  </si>
  <si>
    <t>کازرون</t>
  </si>
  <si>
    <t>سرچهان</t>
  </si>
  <si>
    <t>سیدان</t>
  </si>
  <si>
    <t>قائمیه</t>
  </si>
  <si>
    <t>سپیدان</t>
  </si>
  <si>
    <t>داراب</t>
  </si>
  <si>
    <t>خرم بید</t>
  </si>
  <si>
    <t>جویم</t>
  </si>
  <si>
    <t>مرودشت - کامفیروز</t>
  </si>
  <si>
    <t>پهنای باند</t>
  </si>
  <si>
    <t>زاهد شهر</t>
  </si>
  <si>
    <t>جنت شهر</t>
  </si>
  <si>
    <t>مصیری</t>
  </si>
  <si>
    <t>خرامه</t>
  </si>
  <si>
    <t>نقطه مادر-</t>
  </si>
  <si>
    <t>زرقان</t>
  </si>
  <si>
    <t>جمع کل</t>
  </si>
  <si>
    <t xml:space="preserve">مبلغ دوره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</si>
</sst>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3" fontId="1" fillId="2" borderId="1" xfId="0" applyNumberFormat="1" applyFont="1" applyFill="1" applyBorder="1"/>
    <xf numFmtId="3" fontId="0" fillId="0" borderId="0" xfId="0" applyNumberFormat="1"/>
    <xf numFmtId="1" fontId="1" fillId="2" borderId="1" xfId="0" applyNumberFormat="1" applyFont="1" applyFill="1" applyBorder="1"/>
    <xf numFmtId="1" fontId="0" fillId="2" borderId="1" xfId="0" applyNumberFormat="1" applyFill="1" applyBorder="1"/>
    <xf numFmtId="0" fontId="1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3" fontId="2" fillId="2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rightToLeft="1" tabSelected="1" topLeftCell="A10" zoomScaleNormal="100" workbookViewId="0">
      <selection activeCell="C44" sqref="C44"/>
    </sheetView>
  </sheetViews>
  <sheetFormatPr defaultRowHeight="15"/>
  <cols>
    <col min="1" max="1" width="23.85546875" style="12" customWidth="1"/>
    <col min="2" max="2" width="6.28515625" customWidth="1"/>
    <col min="3" max="3" width="20.85546875" customWidth="1"/>
    <col min="4" max="4" width="17.140625" customWidth="1"/>
    <col min="5" max="5" width="24.140625" customWidth="1"/>
  </cols>
  <sheetData>
    <row r="1" spans="1:4">
      <c r="A1" s="9" t="s">
        <v>0</v>
      </c>
      <c r="B1" s="2" t="s">
        <v>33</v>
      </c>
      <c r="C1" s="2" t="s">
        <v>1</v>
      </c>
      <c r="D1" s="3" t="s">
        <v>41</v>
      </c>
    </row>
    <row r="2" spans="1:4">
      <c r="A2" s="9" t="s">
        <v>38</v>
      </c>
      <c r="B2" s="4">
        <v>2400</v>
      </c>
      <c r="C2" s="4">
        <v>9902246529</v>
      </c>
      <c r="D2" s="5">
        <f>(B2*66750)*2</f>
        <v>320400000</v>
      </c>
    </row>
    <row r="3" spans="1:4">
      <c r="A3" s="9" t="s">
        <v>13</v>
      </c>
      <c r="B3" s="4">
        <v>350</v>
      </c>
      <c r="C3" s="4">
        <v>9902246984</v>
      </c>
      <c r="D3" s="5">
        <f>(B3*126750)*2</f>
        <v>88725000</v>
      </c>
    </row>
    <row r="4" spans="1:4">
      <c r="A4" s="9" t="s">
        <v>26</v>
      </c>
      <c r="B4" s="4">
        <v>310</v>
      </c>
      <c r="C4" s="4">
        <v>9902257480</v>
      </c>
      <c r="D4" s="5">
        <f>(B4*126750)*2</f>
        <v>78585000</v>
      </c>
    </row>
    <row r="5" spans="1:4">
      <c r="A5" s="9" t="s">
        <v>23</v>
      </c>
      <c r="B5" s="4">
        <v>200</v>
      </c>
      <c r="C5" s="4">
        <v>9902246989</v>
      </c>
      <c r="D5" s="5">
        <f t="shared" ref="D5:D12" si="0">(B5*126750)*2</f>
        <v>50700000</v>
      </c>
    </row>
    <row r="6" spans="1:4">
      <c r="A6" s="9" t="s">
        <v>15</v>
      </c>
      <c r="B6" s="4">
        <v>220</v>
      </c>
      <c r="C6" s="4">
        <v>9902246963</v>
      </c>
      <c r="D6" s="5">
        <f>(B6*126750)*2</f>
        <v>55770000</v>
      </c>
    </row>
    <row r="7" spans="1:4">
      <c r="A7" s="9" t="s">
        <v>20</v>
      </c>
      <c r="B7" s="4">
        <v>200</v>
      </c>
      <c r="C7" s="4">
        <v>9902246860</v>
      </c>
      <c r="D7" s="5">
        <f t="shared" si="0"/>
        <v>50700000</v>
      </c>
    </row>
    <row r="8" spans="1:4">
      <c r="A8" s="9" t="s">
        <v>24</v>
      </c>
      <c r="B8" s="4">
        <v>160</v>
      </c>
      <c r="C8" s="4">
        <v>9902246992</v>
      </c>
      <c r="D8" s="5">
        <f t="shared" si="0"/>
        <v>40560000</v>
      </c>
    </row>
    <row r="9" spans="1:4">
      <c r="A9" s="9" t="s">
        <v>21</v>
      </c>
      <c r="B9" s="4">
        <v>120</v>
      </c>
      <c r="C9" s="4">
        <v>9902246863</v>
      </c>
      <c r="D9" s="5">
        <f t="shared" si="0"/>
        <v>30420000</v>
      </c>
    </row>
    <row r="10" spans="1:4">
      <c r="A10" s="9" t="s">
        <v>16</v>
      </c>
      <c r="B10" s="4">
        <v>150</v>
      </c>
      <c r="C10" s="4">
        <v>400321</v>
      </c>
      <c r="D10" s="5">
        <v>48600000</v>
      </c>
    </row>
    <row r="11" spans="1:4">
      <c r="A11" s="9" t="s">
        <v>18</v>
      </c>
      <c r="B11" s="4">
        <v>90</v>
      </c>
      <c r="C11" s="4">
        <v>40002292188</v>
      </c>
      <c r="D11" s="5">
        <f t="shared" si="0"/>
        <v>22815000</v>
      </c>
    </row>
    <row r="12" spans="1:4">
      <c r="A12" s="9" t="s">
        <v>12</v>
      </c>
      <c r="B12" s="4">
        <v>160</v>
      </c>
      <c r="C12" s="4">
        <v>9902247002</v>
      </c>
      <c r="D12" s="5">
        <f t="shared" si="0"/>
        <v>40560000</v>
      </c>
    </row>
    <row r="13" spans="1:4">
      <c r="A13" s="9" t="s">
        <v>22</v>
      </c>
      <c r="B13" s="4">
        <v>120</v>
      </c>
      <c r="C13" s="4">
        <v>9902246865</v>
      </c>
      <c r="D13" s="5">
        <f>(B13*126750)*2</f>
        <v>30420000</v>
      </c>
    </row>
    <row r="14" spans="1:4">
      <c r="A14" s="9" t="s">
        <v>17</v>
      </c>
      <c r="B14" s="4">
        <v>100</v>
      </c>
      <c r="C14" s="4">
        <v>9902246846</v>
      </c>
      <c r="D14" s="5">
        <f t="shared" ref="D14:D38" si="1">(B14*126750)*2</f>
        <v>25350000</v>
      </c>
    </row>
    <row r="15" spans="1:4">
      <c r="A15" s="9" t="s">
        <v>14</v>
      </c>
      <c r="B15" s="4">
        <v>90</v>
      </c>
      <c r="C15" s="4">
        <v>9902246980</v>
      </c>
      <c r="D15" s="5">
        <f t="shared" si="1"/>
        <v>22815000</v>
      </c>
    </row>
    <row r="16" spans="1:4">
      <c r="A16" s="9" t="s">
        <v>19</v>
      </c>
      <c r="B16" s="4">
        <v>90</v>
      </c>
      <c r="C16" s="4">
        <v>9902246858</v>
      </c>
      <c r="D16" s="5">
        <f t="shared" si="1"/>
        <v>22815000</v>
      </c>
    </row>
    <row r="17" spans="1:4">
      <c r="A17" s="9" t="s">
        <v>29</v>
      </c>
      <c r="B17" s="4">
        <v>65</v>
      </c>
      <c r="C17" s="4">
        <v>9902247031</v>
      </c>
      <c r="D17" s="5">
        <f t="shared" si="1"/>
        <v>16477500</v>
      </c>
    </row>
    <row r="18" spans="1:4">
      <c r="A18" s="9" t="s">
        <v>28</v>
      </c>
      <c r="B18" s="4">
        <v>80</v>
      </c>
      <c r="C18" s="4">
        <v>9902246957</v>
      </c>
      <c r="D18" s="5">
        <f t="shared" si="1"/>
        <v>20280000</v>
      </c>
    </row>
    <row r="19" spans="1:4" ht="15.75">
      <c r="A19" s="10" t="s">
        <v>35</v>
      </c>
      <c r="B19" s="1">
        <v>50</v>
      </c>
      <c r="C19" s="8">
        <v>254027115615</v>
      </c>
      <c r="D19" s="5">
        <f>(B19*126750)*2</f>
        <v>12675000</v>
      </c>
    </row>
    <row r="20" spans="1:4" ht="15.75">
      <c r="A20" s="10" t="s">
        <v>39</v>
      </c>
      <c r="B20" s="1">
        <v>70</v>
      </c>
      <c r="C20" s="8">
        <v>254027115612</v>
      </c>
      <c r="D20" s="5">
        <f>(B20*89250)*2</f>
        <v>12495000</v>
      </c>
    </row>
    <row r="21" spans="1:4" ht="15.75">
      <c r="A21" s="10" t="s">
        <v>36</v>
      </c>
      <c r="B21" s="1">
        <v>60</v>
      </c>
      <c r="C21" s="8">
        <v>254027115614</v>
      </c>
      <c r="D21" s="5">
        <f t="shared" si="1"/>
        <v>15210000</v>
      </c>
    </row>
    <row r="22" spans="1:4" ht="15.75">
      <c r="A22" s="10" t="s">
        <v>37</v>
      </c>
      <c r="B22" s="1">
        <v>30</v>
      </c>
      <c r="C22" s="8">
        <v>254027115613</v>
      </c>
      <c r="D22" s="5">
        <f t="shared" si="1"/>
        <v>7605000</v>
      </c>
    </row>
    <row r="23" spans="1:4">
      <c r="A23" s="9" t="s">
        <v>2</v>
      </c>
      <c r="B23" s="4">
        <v>30</v>
      </c>
      <c r="C23" s="4">
        <v>9902249889</v>
      </c>
      <c r="D23" s="5">
        <f t="shared" si="1"/>
        <v>7605000</v>
      </c>
    </row>
    <row r="24" spans="1:4">
      <c r="A24" s="9" t="s">
        <v>3</v>
      </c>
      <c r="B24" s="4">
        <v>30</v>
      </c>
      <c r="C24" s="4">
        <v>9902247238</v>
      </c>
      <c r="D24" s="5">
        <f t="shared" si="1"/>
        <v>7605000</v>
      </c>
    </row>
    <row r="25" spans="1:4">
      <c r="A25" s="9" t="s">
        <v>4</v>
      </c>
      <c r="B25" s="4">
        <v>30</v>
      </c>
      <c r="C25" s="4">
        <v>9902257348</v>
      </c>
      <c r="D25" s="5">
        <f t="shared" si="1"/>
        <v>7605000</v>
      </c>
    </row>
    <row r="26" spans="1:4">
      <c r="A26" s="11" t="s">
        <v>5</v>
      </c>
      <c r="B26" s="4">
        <v>30</v>
      </c>
      <c r="C26" s="4">
        <v>9902257336</v>
      </c>
      <c r="D26" s="5">
        <f t="shared" si="1"/>
        <v>7605000</v>
      </c>
    </row>
    <row r="27" spans="1:4">
      <c r="A27" s="9" t="s">
        <v>6</v>
      </c>
      <c r="B27" s="4">
        <v>60</v>
      </c>
      <c r="C27" s="4">
        <v>9902249893</v>
      </c>
      <c r="D27" s="5">
        <f>(B27*126750)*2</f>
        <v>15210000</v>
      </c>
    </row>
    <row r="28" spans="1:4">
      <c r="A28" s="9" t="s">
        <v>7</v>
      </c>
      <c r="B28" s="4">
        <v>30</v>
      </c>
      <c r="C28" s="4">
        <v>9902247237</v>
      </c>
      <c r="D28" s="5">
        <f t="shared" si="1"/>
        <v>7605000</v>
      </c>
    </row>
    <row r="29" spans="1:4">
      <c r="A29" s="9" t="s">
        <v>30</v>
      </c>
      <c r="B29" s="4">
        <v>30</v>
      </c>
      <c r="C29" s="4">
        <v>40002358007</v>
      </c>
      <c r="D29" s="5">
        <f>(B29*126750)*2</f>
        <v>7605000</v>
      </c>
    </row>
    <row r="30" spans="1:4">
      <c r="A30" s="9" t="s">
        <v>8</v>
      </c>
      <c r="B30" s="4">
        <v>30</v>
      </c>
      <c r="C30" s="4">
        <v>9902247235</v>
      </c>
      <c r="D30" s="5">
        <f t="shared" si="1"/>
        <v>7605000</v>
      </c>
    </row>
    <row r="31" spans="1:4">
      <c r="A31" s="9" t="s">
        <v>9</v>
      </c>
      <c r="B31" s="4">
        <v>120</v>
      </c>
      <c r="C31" s="4">
        <v>9902247236</v>
      </c>
      <c r="D31" s="5">
        <f t="shared" si="1"/>
        <v>30420000</v>
      </c>
    </row>
    <row r="32" spans="1:4">
      <c r="A32" s="9" t="s">
        <v>10</v>
      </c>
      <c r="B32" s="4">
        <v>30</v>
      </c>
      <c r="C32" s="4">
        <v>9902249891</v>
      </c>
      <c r="D32" s="5">
        <f t="shared" si="1"/>
        <v>7605000</v>
      </c>
    </row>
    <row r="33" spans="1:4">
      <c r="A33" s="9" t="s">
        <v>11</v>
      </c>
      <c r="B33" s="4">
        <v>30</v>
      </c>
      <c r="C33" s="4">
        <v>9902249888</v>
      </c>
      <c r="D33" s="5">
        <f t="shared" si="1"/>
        <v>7605000</v>
      </c>
    </row>
    <row r="34" spans="1:4">
      <c r="A34" s="9" t="s">
        <v>25</v>
      </c>
      <c r="B34" s="4">
        <v>30</v>
      </c>
      <c r="C34" s="4">
        <v>9902257349</v>
      </c>
      <c r="D34" s="5">
        <f t="shared" si="1"/>
        <v>7605000</v>
      </c>
    </row>
    <row r="35" spans="1:4">
      <c r="A35" s="9" t="s">
        <v>27</v>
      </c>
      <c r="B35" s="4">
        <v>30</v>
      </c>
      <c r="C35" s="4">
        <v>9902249890</v>
      </c>
      <c r="D35" s="5">
        <f t="shared" si="1"/>
        <v>7605000</v>
      </c>
    </row>
    <row r="36" spans="1:4">
      <c r="A36" s="9" t="s">
        <v>31</v>
      </c>
      <c r="B36" s="4">
        <v>30</v>
      </c>
      <c r="C36" s="4">
        <v>40102431716</v>
      </c>
      <c r="D36" s="5">
        <f t="shared" si="1"/>
        <v>7605000</v>
      </c>
    </row>
    <row r="37" spans="1:4">
      <c r="A37" s="9" t="s">
        <v>32</v>
      </c>
      <c r="B37" s="4">
        <v>30</v>
      </c>
      <c r="C37" s="4">
        <v>40102423898</v>
      </c>
      <c r="D37" s="5">
        <f t="shared" si="1"/>
        <v>7605000</v>
      </c>
    </row>
    <row r="38" spans="1:4">
      <c r="A38" s="9" t="s">
        <v>34</v>
      </c>
      <c r="B38" s="4">
        <v>50</v>
      </c>
      <c r="C38" s="7">
        <v>254027114959</v>
      </c>
      <c r="D38" s="5">
        <f t="shared" si="1"/>
        <v>12675000</v>
      </c>
    </row>
    <row r="39" spans="1:4" ht="27" customHeight="1">
      <c r="A39" s="15" t="s">
        <v>40</v>
      </c>
      <c r="B39" s="16"/>
      <c r="C39" s="17"/>
      <c r="D39" s="14">
        <f>SUM(D2:D38)</f>
        <v>1171147500</v>
      </c>
    </row>
    <row r="40" spans="1:4" ht="15.75" customHeight="1">
      <c r="D40" s="6"/>
    </row>
    <row r="41" spans="1:4" ht="15.75" customHeight="1">
      <c r="D41" s="6"/>
    </row>
    <row r="43" spans="1:4">
      <c r="C43" s="13"/>
    </row>
  </sheetData>
  <mergeCells count="1">
    <mergeCell ref="A39:C39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cp:lastPrinted>2023-07-05T07:57:03Z</cp:lastPrinted>
  <dcterms:created xsi:type="dcterms:W3CDTF">2022-05-31T06:17:13Z</dcterms:created>
  <dcterms:modified xsi:type="dcterms:W3CDTF">2025-06-24T06:43:36Z</dcterms:modified>
</cp:coreProperties>
</file>