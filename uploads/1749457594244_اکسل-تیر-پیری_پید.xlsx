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 activeTab="1"/>
  </bookViews>
  <sheets>
    <sheet name="Sheet1" sheetId="8" r:id="rId1"/>
    <sheet name="Sheet2" sheetId="7" r:id="rId2"/>
  </sheets>
  <definedNames>
    <definedName name="pre_sheet1" localSheetId="0">Sheet1!$B$1:$K$61</definedName>
    <definedName name="pre_sheet2" localSheetId="1">Sheet2!$A$1:$E$126</definedName>
    <definedName name="sheet1" localSheetId="1">Sheet2!#REF!</definedName>
    <definedName name="sheet2" localSheetId="0">Sheet1!#REF!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27" i="7" l="1"/>
  <c r="N62" i="8" l="1"/>
  <c r="L62" i="8"/>
</calcChain>
</file>

<file path=xl/connections.xml><?xml version="1.0" encoding="utf-8"?>
<connections xmlns="http://schemas.openxmlformats.org/spreadsheetml/2006/main">
  <connection id="1" name="pre_sheet1" type="6" refreshedVersion="6" background="1" saveData="1">
    <textPr codePage="65001" sourceFile="C:\Users\z.mohammadi\Downloads\pre_sheet1.csv" tab="0" comma="1">
      <textFields count="14"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  <connection id="2" name="pre_sheet2" type="6" refreshedVersion="6" background="1" saveData="1">
    <textPr codePage="65001" sourceFile="C:\Users\z.mohammadi\Downloads\pre_sheet2.csv" tab="0" comma="1">
      <textFields count="8"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</connections>
</file>

<file path=xl/sharedStrings.xml><?xml version="1.0" encoding="utf-8"?>
<sst xmlns="http://schemas.openxmlformats.org/spreadsheetml/2006/main" count="1247" uniqueCount="222">
  <si>
    <t>موضوع صورت حساب</t>
  </si>
  <si>
    <t>سریال</t>
  </si>
  <si>
    <t>تاریخ</t>
  </si>
  <si>
    <t>ساعت</t>
  </si>
  <si>
    <t>نوع صورت حساب</t>
  </si>
  <si>
    <t>نوع شخص خریدار</t>
  </si>
  <si>
    <t>نام شرکت</t>
  </si>
  <si>
    <t>کد/شناسه ملی خریدار</t>
  </si>
  <si>
    <t>شماره اقتصادی خریدار</t>
  </si>
  <si>
    <t>کد پستی خریدار</t>
  </si>
  <si>
    <t>مبلغ نقد</t>
  </si>
  <si>
    <t>مبلغ نسیه</t>
  </si>
  <si>
    <t>مجموع صورت حساب</t>
  </si>
  <si>
    <t>1</t>
  </si>
  <si>
    <t>14023478</t>
  </si>
  <si>
    <t>1404/04/02</t>
  </si>
  <si>
    <t>10:00</t>
  </si>
  <si>
    <t>2</t>
  </si>
  <si>
    <t>فراورده هاي لبني رامك شيراز</t>
  </si>
  <si>
    <t>10530151206</t>
  </si>
  <si>
    <t>7134696414</t>
  </si>
  <si>
    <t>14023479</t>
  </si>
  <si>
    <t>فرابرد شیراز</t>
  </si>
  <si>
    <t>10530231879</t>
  </si>
  <si>
    <t>7194734177</t>
  </si>
  <si>
    <t>14023481</t>
  </si>
  <si>
    <t>14023482</t>
  </si>
  <si>
    <t>سحر سازه نوین پایدار</t>
  </si>
  <si>
    <t>14006184659</t>
  </si>
  <si>
    <t>1549635813</t>
  </si>
  <si>
    <t>14023483</t>
  </si>
  <si>
    <t>هتل شیراز</t>
  </si>
  <si>
    <t>10530189570</t>
  </si>
  <si>
    <t>7144994343</t>
  </si>
  <si>
    <t>14023486</t>
  </si>
  <si>
    <t>سالیذ مرغ</t>
  </si>
  <si>
    <t>14005393970</t>
  </si>
  <si>
    <t>7146673419</t>
  </si>
  <si>
    <t>14023487</t>
  </si>
  <si>
    <t>کبیر موتور کازرون</t>
  </si>
  <si>
    <t>10530098680</t>
  </si>
  <si>
    <t>1595835911</t>
  </si>
  <si>
    <t>14023490</t>
  </si>
  <si>
    <t>توليدي صنعتي آويسا پارسه زابل</t>
  </si>
  <si>
    <t>14005386170</t>
  </si>
  <si>
    <t>9861116478</t>
  </si>
  <si>
    <t>14023492</t>
  </si>
  <si>
    <t>توليدي صنعتي آرد مارون</t>
  </si>
  <si>
    <t>10680016256</t>
  </si>
  <si>
    <t>7584123581</t>
  </si>
  <si>
    <t>14023493</t>
  </si>
  <si>
    <t>شیراز چلیک</t>
  </si>
  <si>
    <t>10530313099</t>
  </si>
  <si>
    <t>7134964974</t>
  </si>
  <si>
    <t>14023494</t>
  </si>
  <si>
    <t>بیمه سامان</t>
  </si>
  <si>
    <t>10102818130</t>
  </si>
  <si>
    <t>7174711737</t>
  </si>
  <si>
    <t>14023495</t>
  </si>
  <si>
    <t>14023496</t>
  </si>
  <si>
    <t>فروش و خدمات اینترنت(وحید نت)</t>
  </si>
  <si>
    <t>0421034998</t>
  </si>
  <si>
    <t>7188697598</t>
  </si>
  <si>
    <t>14023498</t>
  </si>
  <si>
    <t>14023500</t>
  </si>
  <si>
    <t>شرکت آبفشان ساحل شیراز-a.s</t>
  </si>
  <si>
    <t>10530238140</t>
  </si>
  <si>
    <t>7158181987</t>
  </si>
  <si>
    <t>14023501</t>
  </si>
  <si>
    <t>تولیدی و صنعتی قند اقلید و سرحد چهاردانگه</t>
  </si>
  <si>
    <t>10260140797</t>
  </si>
  <si>
    <t>7381686444</t>
  </si>
  <si>
    <t>14023502</t>
  </si>
  <si>
    <t>سافروشام فارس گستر</t>
  </si>
  <si>
    <t>10530491995</t>
  </si>
  <si>
    <t>7167858958</t>
  </si>
  <si>
    <t>14023503</t>
  </si>
  <si>
    <t>جناب آقای مرتضی ابراهیمی</t>
  </si>
  <si>
    <t>کدملی:2432793821</t>
  </si>
  <si>
    <t>7375137111</t>
  </si>
  <si>
    <t>14023505</t>
  </si>
  <si>
    <t>فاتح صنعت کیمیا</t>
  </si>
  <si>
    <t>10530227257</t>
  </si>
  <si>
    <t>7158177686</t>
  </si>
  <si>
    <t>14023506</t>
  </si>
  <si>
    <t>14023507</t>
  </si>
  <si>
    <t>مجتمع صنعتي پروتئيني شام شام شيراز</t>
  </si>
  <si>
    <t>10530262227</t>
  </si>
  <si>
    <t>7185986666</t>
  </si>
  <si>
    <t>14023508</t>
  </si>
  <si>
    <t>تولیدی و صنعتی اخشان</t>
  </si>
  <si>
    <t>10101065780</t>
  </si>
  <si>
    <t>7196887674</t>
  </si>
  <si>
    <t>14023509</t>
  </si>
  <si>
    <t>جناب اقای سید داود شریفی</t>
  </si>
  <si>
    <t>کدملی:2291293656</t>
  </si>
  <si>
    <t>7134667457</t>
  </si>
  <si>
    <t>14023510</t>
  </si>
  <si>
    <t xml:space="preserve">نمایندگی ایران خودرو دهقان زاده </t>
  </si>
  <si>
    <t>10530294729</t>
  </si>
  <si>
    <t>7164853411</t>
  </si>
  <si>
    <t>14023512</t>
  </si>
  <si>
    <t>ارگ مسكن جنوب</t>
  </si>
  <si>
    <t>10530201438</t>
  </si>
  <si>
    <t>7185915672</t>
  </si>
  <si>
    <t>14023514</t>
  </si>
  <si>
    <t>تولیدی صنعتی فراسان</t>
  </si>
  <si>
    <t>10530157594</t>
  </si>
  <si>
    <t>7143746448</t>
  </si>
  <si>
    <t>14023515</t>
  </si>
  <si>
    <t>بهره برداری و تعمیراتی مپنا</t>
  </si>
  <si>
    <t>10102582805</t>
  </si>
  <si>
    <t>7413600619</t>
  </si>
  <si>
    <t>14023517</t>
  </si>
  <si>
    <t>توليدي بالان صنعت</t>
  </si>
  <si>
    <t>10530154095</t>
  </si>
  <si>
    <t>7158185919</t>
  </si>
  <si>
    <t>14023518</t>
  </si>
  <si>
    <t>زرین غزال (دایتی)</t>
  </si>
  <si>
    <t>10530233676</t>
  </si>
  <si>
    <t>7158188785</t>
  </si>
  <si>
    <t>14023519</t>
  </si>
  <si>
    <t>کارخانجات مخابراتی ایران</t>
  </si>
  <si>
    <t>10530004647</t>
  </si>
  <si>
    <t>7154815854</t>
  </si>
  <si>
    <t>14023521</t>
  </si>
  <si>
    <t>14023522</t>
  </si>
  <si>
    <t>صنايع لاستيك فرا پيشتاز هونام</t>
  </si>
  <si>
    <t>14004643900</t>
  </si>
  <si>
    <t>14023525</t>
  </si>
  <si>
    <t>قرار گاه سازندگي خاتم الانبيا(موسسه ایستاب)</t>
  </si>
  <si>
    <t>14003235490</t>
  </si>
  <si>
    <t>7173646692</t>
  </si>
  <si>
    <t>14023527</t>
  </si>
  <si>
    <t>گروه تولیدی مهرام</t>
  </si>
  <si>
    <t>10100542221</t>
  </si>
  <si>
    <t>7369143006</t>
  </si>
  <si>
    <t>14023528</t>
  </si>
  <si>
    <t>آموزش عالي غير انتفاعي غير دولتي حافظ شيراز</t>
  </si>
  <si>
    <t>10530136955</t>
  </si>
  <si>
    <t>7134813964</t>
  </si>
  <si>
    <t>14023531</t>
  </si>
  <si>
    <t>توزيع دارو پخش</t>
  </si>
  <si>
    <t>10101725582</t>
  </si>
  <si>
    <t>7149754765</t>
  </si>
  <si>
    <t>14023532</t>
  </si>
  <si>
    <t>آموزش عالي غير دولتي غير انتفاعي پاسارگاد شيراز</t>
  </si>
  <si>
    <t>10530394117</t>
  </si>
  <si>
    <t>7176984848</t>
  </si>
  <si>
    <t>14023533</t>
  </si>
  <si>
    <t>پخش مکمل کارن</t>
  </si>
  <si>
    <t>10860111859</t>
  </si>
  <si>
    <t>7158187153</t>
  </si>
  <si>
    <t>14023536</t>
  </si>
  <si>
    <t>ساختمانی و نصب صنایع و معادن پارس(پامیکو)</t>
  </si>
  <si>
    <t>10102520407</t>
  </si>
  <si>
    <t>7381934397</t>
  </si>
  <si>
    <t>14023537</t>
  </si>
  <si>
    <t>طراحی و مهندسی همپا انرژی</t>
  </si>
  <si>
    <t>10530363053</t>
  </si>
  <si>
    <t>7143755111</t>
  </si>
  <si>
    <t>14023538</t>
  </si>
  <si>
    <t>14023543</t>
  </si>
  <si>
    <t>پیشگامان آتیه فارس</t>
  </si>
  <si>
    <t>10530335558</t>
  </si>
  <si>
    <t>7134634497</t>
  </si>
  <si>
    <t>14023544</t>
  </si>
  <si>
    <t>14023545</t>
  </si>
  <si>
    <t>جناب اقای محمدرضا محمدی</t>
  </si>
  <si>
    <t>کدملی:2460223382</t>
  </si>
  <si>
    <t>7457135448</t>
  </si>
  <si>
    <t>14023546</t>
  </si>
  <si>
    <t>14023547</t>
  </si>
  <si>
    <t>14023550</t>
  </si>
  <si>
    <t>اقامتگاه سنتی داروش</t>
  </si>
  <si>
    <t>14010540281</t>
  </si>
  <si>
    <t>7139948185</t>
  </si>
  <si>
    <t>14023552</t>
  </si>
  <si>
    <t>ايران مدار</t>
  </si>
  <si>
    <t>10530149549</t>
  </si>
  <si>
    <t>7189316731</t>
  </si>
  <si>
    <t>14023553</t>
  </si>
  <si>
    <t xml:space="preserve">جناب اقای علی اکبر حسینی منش </t>
  </si>
  <si>
    <t>کدملی:2299880569</t>
  </si>
  <si>
    <t>7371948756</t>
  </si>
  <si>
    <t>14023558</t>
  </si>
  <si>
    <t>14023560</t>
  </si>
  <si>
    <t>14023561</t>
  </si>
  <si>
    <t>14023563</t>
  </si>
  <si>
    <t>مهندسین عمران مارون</t>
  </si>
  <si>
    <t>10102051467</t>
  </si>
  <si>
    <t>1998816641</t>
  </si>
  <si>
    <t>14023564</t>
  </si>
  <si>
    <t>هفت خوان طلایی</t>
  </si>
  <si>
    <t>10530260297</t>
  </si>
  <si>
    <t>7146665911</t>
  </si>
  <si>
    <t>14023568</t>
  </si>
  <si>
    <t>پارس حساس</t>
  </si>
  <si>
    <t>10530180004</t>
  </si>
  <si>
    <t>7134645865</t>
  </si>
  <si>
    <t>14023570</t>
  </si>
  <si>
    <t>فرهنگی پژوهشی دانشنامه فارس</t>
  </si>
  <si>
    <t>10530180739</t>
  </si>
  <si>
    <t xml:space="preserve"> 7183856133</t>
  </si>
  <si>
    <t>14023573</t>
  </si>
  <si>
    <t>14023574</t>
  </si>
  <si>
    <t>14023578</t>
  </si>
  <si>
    <t>شناسه کالا/خدمات</t>
  </si>
  <si>
    <t>شرح کالا/خدمات</t>
  </si>
  <si>
    <t>کد واحد</t>
  </si>
  <si>
    <t>تعداد</t>
  </si>
  <si>
    <t>فی</t>
  </si>
  <si>
    <t>تخفیف</t>
  </si>
  <si>
    <t>درصد مالیات</t>
  </si>
  <si>
    <t>2330001018109</t>
  </si>
  <si>
    <t>پهنای باند اینترنتی</t>
  </si>
  <si>
    <t>16112</t>
  </si>
  <si>
    <t>ردیف</t>
  </si>
  <si>
    <t>14023499</t>
  </si>
  <si>
    <t>اداره كل استاندارد استان فارس</t>
  </si>
  <si>
    <t>14002825640</t>
  </si>
  <si>
    <t>7195657713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</si>
</sst>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/>
    <xf numFmtId="3" fontId="0" fillId="0" borderId="0" xfId="0" applyNumberFormat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0" xfId="0" applyFill="1"/>
    <xf numFmtId="49" fontId="0" fillId="2" borderId="1" xfId="0" applyNumberFormat="1" applyFill="1" applyBorder="1" applyAlignment="1">
      <alignment horizontal="center"/>
    </xf>
    <xf numFmtId="3" fontId="0" fillId="2" borderId="1" xfId="0" applyNumberFormat="1" applyFill="1" applyBorder="1" applyAlignment="1">
      <alignment horizontal="center"/>
    </xf>
    <xf numFmtId="49" fontId="0" fillId="2" borderId="1" xfId="0" applyNumberFormat="1" applyFill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 vertical="center"/>
    </xf>
    <xf numFmtId="3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pre_sheet1" connectionId="1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pre_sheet2" connectionId="2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2"/>
  <sheetViews>
    <sheetView zoomScale="80" zoomScaleNormal="80" workbookViewId="0">
      <pane ySplit="1" topLeftCell="A2" activePane="bottomLeft" state="frozen"/>
      <selection pane="bottomLeft" activeCell="N63" sqref="N63"/>
    </sheetView>
  </sheetViews>
  <sheetFormatPr defaultRowHeight="14.5" x14ac:dyDescent="0.35"/>
  <cols>
    <col min="1" max="1" width="4.6328125" bestFit="1" customWidth="1"/>
    <col min="2" max="2" width="16.36328125" bestFit="1" customWidth="1"/>
    <col min="3" max="3" width="9.1796875" bestFit="1" customWidth="1"/>
    <col min="4" max="4" width="10.81640625" bestFit="1" customWidth="1"/>
    <col min="5" max="5" width="5.6328125" bestFit="1" customWidth="1"/>
    <col min="6" max="6" width="13.54296875" bestFit="1" customWidth="1"/>
    <col min="7" max="7" width="13.6328125" bestFit="1" customWidth="1"/>
    <col min="8" max="8" width="33.26953125" bestFit="1" customWidth="1"/>
    <col min="9" max="9" width="16.26953125" bestFit="1" customWidth="1"/>
    <col min="10" max="10" width="16.36328125" bestFit="1" customWidth="1"/>
    <col min="11" max="11" width="11.81640625" bestFit="1" customWidth="1"/>
    <col min="12" max="12" width="12.6328125" bestFit="1" customWidth="1"/>
    <col min="13" max="13" width="7.7265625" bestFit="1" customWidth="1"/>
    <col min="14" max="14" width="16.08984375" bestFit="1" customWidth="1"/>
  </cols>
  <sheetData>
    <row r="1" spans="1:14" x14ac:dyDescent="0.35">
      <c r="A1" s="6" t="s">
        <v>217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</row>
    <row r="2" spans="1:14" x14ac:dyDescent="0.35">
      <c r="A2" s="6">
        <v>1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13</v>
      </c>
      <c r="G2" s="4" t="s">
        <v>17</v>
      </c>
      <c r="H2" s="4" t="s">
        <v>18</v>
      </c>
      <c r="I2" s="4" t="s">
        <v>19</v>
      </c>
      <c r="J2" s="4" t="s">
        <v>19</v>
      </c>
      <c r="K2" s="4" t="s">
        <v>20</v>
      </c>
      <c r="L2" s="5">
        <v>128444433</v>
      </c>
      <c r="M2" s="5">
        <v>0</v>
      </c>
      <c r="N2" s="5">
        <v>141288876</v>
      </c>
    </row>
    <row r="3" spans="1:14" x14ac:dyDescent="0.35">
      <c r="A3" s="6">
        <v>2</v>
      </c>
      <c r="B3" s="4" t="s">
        <v>13</v>
      </c>
      <c r="C3" s="4" t="s">
        <v>21</v>
      </c>
      <c r="D3" s="4" t="s">
        <v>15</v>
      </c>
      <c r="E3" s="4" t="s">
        <v>16</v>
      </c>
      <c r="F3" s="4" t="s">
        <v>13</v>
      </c>
      <c r="G3" s="4" t="s">
        <v>17</v>
      </c>
      <c r="H3" s="4" t="s">
        <v>22</v>
      </c>
      <c r="I3" s="4" t="s">
        <v>23</v>
      </c>
      <c r="J3" s="4" t="s">
        <v>23</v>
      </c>
      <c r="K3" s="4" t="s">
        <v>24</v>
      </c>
      <c r="L3" s="5">
        <v>41560000</v>
      </c>
      <c r="M3" s="5">
        <v>0</v>
      </c>
      <c r="N3" s="5">
        <v>45716000</v>
      </c>
    </row>
    <row r="4" spans="1:14" x14ac:dyDescent="0.35">
      <c r="A4" s="6">
        <v>3</v>
      </c>
      <c r="B4" s="4" t="s">
        <v>13</v>
      </c>
      <c r="C4" s="4" t="s">
        <v>25</v>
      </c>
      <c r="D4" s="4" t="s">
        <v>15</v>
      </c>
      <c r="E4" s="4" t="s">
        <v>16</v>
      </c>
      <c r="F4" s="4" t="s">
        <v>13</v>
      </c>
      <c r="G4" s="4" t="s">
        <v>17</v>
      </c>
      <c r="H4" s="4" t="s">
        <v>18</v>
      </c>
      <c r="I4" s="4" t="s">
        <v>19</v>
      </c>
      <c r="J4" s="4" t="s">
        <v>19</v>
      </c>
      <c r="K4" s="4" t="s">
        <v>20</v>
      </c>
      <c r="L4" s="5">
        <v>131044904</v>
      </c>
      <c r="M4" s="5">
        <v>0</v>
      </c>
      <c r="N4" s="5">
        <v>144149394</v>
      </c>
    </row>
    <row r="5" spans="1:14" x14ac:dyDescent="0.35">
      <c r="A5" s="6">
        <v>4</v>
      </c>
      <c r="B5" s="4" t="s">
        <v>13</v>
      </c>
      <c r="C5" s="4" t="s">
        <v>26</v>
      </c>
      <c r="D5" s="4" t="s">
        <v>15</v>
      </c>
      <c r="E5" s="4" t="s">
        <v>16</v>
      </c>
      <c r="F5" s="4" t="s">
        <v>13</v>
      </c>
      <c r="G5" s="4" t="s">
        <v>17</v>
      </c>
      <c r="H5" s="4" t="s">
        <v>27</v>
      </c>
      <c r="I5" s="4" t="s">
        <v>28</v>
      </c>
      <c r="J5" s="4" t="s">
        <v>28</v>
      </c>
      <c r="K5" s="4" t="s">
        <v>29</v>
      </c>
      <c r="L5" s="5">
        <v>53800000</v>
      </c>
      <c r="M5" s="5">
        <v>0</v>
      </c>
      <c r="N5" s="5">
        <v>59180000</v>
      </c>
    </row>
    <row r="6" spans="1:14" x14ac:dyDescent="0.35">
      <c r="A6" s="6">
        <v>5</v>
      </c>
      <c r="B6" s="4" t="s">
        <v>13</v>
      </c>
      <c r="C6" s="4" t="s">
        <v>30</v>
      </c>
      <c r="D6" s="4" t="s">
        <v>15</v>
      </c>
      <c r="E6" s="4" t="s">
        <v>16</v>
      </c>
      <c r="F6" s="4" t="s">
        <v>13</v>
      </c>
      <c r="G6" s="4" t="s">
        <v>17</v>
      </c>
      <c r="H6" s="4" t="s">
        <v>31</v>
      </c>
      <c r="I6" s="4" t="s">
        <v>32</v>
      </c>
      <c r="J6" s="4" t="s">
        <v>32</v>
      </c>
      <c r="K6" s="4" t="s">
        <v>33</v>
      </c>
      <c r="L6" s="5">
        <v>71875000</v>
      </c>
      <c r="M6" s="5">
        <v>0</v>
      </c>
      <c r="N6" s="5">
        <v>79062500</v>
      </c>
    </row>
    <row r="7" spans="1:14" x14ac:dyDescent="0.35">
      <c r="A7" s="6">
        <v>6</v>
      </c>
      <c r="B7" s="4" t="s">
        <v>13</v>
      </c>
      <c r="C7" s="4" t="s">
        <v>34</v>
      </c>
      <c r="D7" s="4" t="s">
        <v>15</v>
      </c>
      <c r="E7" s="4" t="s">
        <v>16</v>
      </c>
      <c r="F7" s="4" t="s">
        <v>13</v>
      </c>
      <c r="G7" s="4" t="s">
        <v>17</v>
      </c>
      <c r="H7" s="4" t="s">
        <v>35</v>
      </c>
      <c r="I7" s="4" t="s">
        <v>36</v>
      </c>
      <c r="J7" s="4" t="s">
        <v>36</v>
      </c>
      <c r="K7" s="4" t="s">
        <v>37</v>
      </c>
      <c r="L7" s="5">
        <v>50750000</v>
      </c>
      <c r="M7" s="5">
        <v>0</v>
      </c>
      <c r="N7" s="5">
        <v>55825000</v>
      </c>
    </row>
    <row r="8" spans="1:14" x14ac:dyDescent="0.35">
      <c r="A8" s="6">
        <v>7</v>
      </c>
      <c r="B8" s="4" t="s">
        <v>13</v>
      </c>
      <c r="C8" s="4" t="s">
        <v>38</v>
      </c>
      <c r="D8" s="4" t="s">
        <v>15</v>
      </c>
      <c r="E8" s="4" t="s">
        <v>16</v>
      </c>
      <c r="F8" s="4" t="s">
        <v>13</v>
      </c>
      <c r="G8" s="4" t="s">
        <v>17</v>
      </c>
      <c r="H8" s="4" t="s">
        <v>39</v>
      </c>
      <c r="I8" s="4" t="s">
        <v>40</v>
      </c>
      <c r="J8" s="4" t="s">
        <v>40</v>
      </c>
      <c r="K8" s="4" t="s">
        <v>41</v>
      </c>
      <c r="L8" s="5">
        <v>44000000</v>
      </c>
      <c r="M8" s="5">
        <v>0</v>
      </c>
      <c r="N8" s="5">
        <v>48400000</v>
      </c>
    </row>
    <row r="9" spans="1:14" x14ac:dyDescent="0.35">
      <c r="A9" s="6">
        <v>8</v>
      </c>
      <c r="B9" s="4" t="s">
        <v>13</v>
      </c>
      <c r="C9" s="4" t="s">
        <v>42</v>
      </c>
      <c r="D9" s="4" t="s">
        <v>15</v>
      </c>
      <c r="E9" s="4" t="s">
        <v>16</v>
      </c>
      <c r="F9" s="4" t="s">
        <v>13</v>
      </c>
      <c r="G9" s="4" t="s">
        <v>17</v>
      </c>
      <c r="H9" s="4" t="s">
        <v>43</v>
      </c>
      <c r="I9" s="4" t="s">
        <v>44</v>
      </c>
      <c r="J9" s="4" t="s">
        <v>44</v>
      </c>
      <c r="K9" s="4" t="s">
        <v>45</v>
      </c>
      <c r="L9" s="5">
        <v>105050000</v>
      </c>
      <c r="M9" s="5">
        <v>0</v>
      </c>
      <c r="N9" s="5">
        <v>115555000</v>
      </c>
    </row>
    <row r="10" spans="1:14" x14ac:dyDescent="0.35">
      <c r="A10" s="6">
        <v>9</v>
      </c>
      <c r="B10" s="4" t="s">
        <v>13</v>
      </c>
      <c r="C10" s="4" t="s">
        <v>46</v>
      </c>
      <c r="D10" s="4" t="s">
        <v>15</v>
      </c>
      <c r="E10" s="4" t="s">
        <v>16</v>
      </c>
      <c r="F10" s="4" t="s">
        <v>13</v>
      </c>
      <c r="G10" s="4" t="s">
        <v>17</v>
      </c>
      <c r="H10" s="4" t="s">
        <v>47</v>
      </c>
      <c r="I10" s="4" t="s">
        <v>48</v>
      </c>
      <c r="J10" s="4" t="s">
        <v>48</v>
      </c>
      <c r="K10" s="4" t="s">
        <v>49</v>
      </c>
      <c r="L10" s="5">
        <v>58778025</v>
      </c>
      <c r="M10" s="5">
        <v>0</v>
      </c>
      <c r="N10" s="5">
        <v>64655827</v>
      </c>
    </row>
    <row r="11" spans="1:14" x14ac:dyDescent="0.35">
      <c r="A11" s="6">
        <v>10</v>
      </c>
      <c r="B11" s="4" t="s">
        <v>13</v>
      </c>
      <c r="C11" s="4" t="s">
        <v>50</v>
      </c>
      <c r="D11" s="4" t="s">
        <v>15</v>
      </c>
      <c r="E11" s="4" t="s">
        <v>16</v>
      </c>
      <c r="F11" s="4" t="s">
        <v>13</v>
      </c>
      <c r="G11" s="4" t="s">
        <v>17</v>
      </c>
      <c r="H11" s="4" t="s">
        <v>51</v>
      </c>
      <c r="I11" s="4" t="s">
        <v>52</v>
      </c>
      <c r="J11" s="4" t="s">
        <v>52</v>
      </c>
      <c r="K11" s="4" t="s">
        <v>53</v>
      </c>
      <c r="L11" s="5">
        <v>115600000</v>
      </c>
      <c r="M11" s="5">
        <v>0</v>
      </c>
      <c r="N11" s="5">
        <v>127160000</v>
      </c>
    </row>
    <row r="12" spans="1:14" x14ac:dyDescent="0.35">
      <c r="A12" s="6">
        <v>11</v>
      </c>
      <c r="B12" s="4" t="s">
        <v>13</v>
      </c>
      <c r="C12" s="4" t="s">
        <v>54</v>
      </c>
      <c r="D12" s="4" t="s">
        <v>15</v>
      </c>
      <c r="E12" s="4" t="s">
        <v>16</v>
      </c>
      <c r="F12" s="4" t="s">
        <v>13</v>
      </c>
      <c r="G12" s="4" t="s">
        <v>17</v>
      </c>
      <c r="H12" s="4" t="s">
        <v>55</v>
      </c>
      <c r="I12" s="4" t="s">
        <v>56</v>
      </c>
      <c r="J12" s="4" t="s">
        <v>56</v>
      </c>
      <c r="K12" s="4" t="s">
        <v>57</v>
      </c>
      <c r="L12" s="5">
        <v>26400000</v>
      </c>
      <c r="M12" s="5">
        <v>0</v>
      </c>
      <c r="N12" s="5">
        <v>29040000</v>
      </c>
    </row>
    <row r="13" spans="1:14" x14ac:dyDescent="0.35">
      <c r="A13" s="6">
        <v>12</v>
      </c>
      <c r="B13" s="4" t="s">
        <v>13</v>
      </c>
      <c r="C13" s="4" t="s">
        <v>58</v>
      </c>
      <c r="D13" s="4" t="s">
        <v>15</v>
      </c>
      <c r="E13" s="4" t="s">
        <v>16</v>
      </c>
      <c r="F13" s="4" t="s">
        <v>13</v>
      </c>
      <c r="G13" s="4" t="s">
        <v>17</v>
      </c>
      <c r="H13" s="4" t="s">
        <v>35</v>
      </c>
      <c r="I13" s="4" t="s">
        <v>36</v>
      </c>
      <c r="J13" s="4" t="s">
        <v>36</v>
      </c>
      <c r="K13" s="4" t="s">
        <v>37</v>
      </c>
      <c r="L13" s="5">
        <v>17000000</v>
      </c>
      <c r="M13" s="5">
        <v>0</v>
      </c>
      <c r="N13" s="5">
        <v>18700000</v>
      </c>
    </row>
    <row r="14" spans="1:14" x14ac:dyDescent="0.35">
      <c r="A14" s="6">
        <v>13</v>
      </c>
      <c r="B14" s="4" t="s">
        <v>13</v>
      </c>
      <c r="C14" s="4" t="s">
        <v>59</v>
      </c>
      <c r="D14" s="4" t="s">
        <v>15</v>
      </c>
      <c r="E14" s="4" t="s">
        <v>16</v>
      </c>
      <c r="F14" s="4" t="s">
        <v>13</v>
      </c>
      <c r="G14" s="4" t="s">
        <v>17</v>
      </c>
      <c r="H14" s="4" t="s">
        <v>60</v>
      </c>
      <c r="I14" s="4" t="s">
        <v>61</v>
      </c>
      <c r="J14" s="4" t="s">
        <v>61</v>
      </c>
      <c r="K14" s="4" t="s">
        <v>62</v>
      </c>
      <c r="L14" s="5">
        <v>18000000</v>
      </c>
      <c r="M14" s="5">
        <v>0</v>
      </c>
      <c r="N14" s="5">
        <v>19800000</v>
      </c>
    </row>
    <row r="15" spans="1:14" x14ac:dyDescent="0.35">
      <c r="A15" s="6">
        <v>14</v>
      </c>
      <c r="B15" s="4" t="s">
        <v>13</v>
      </c>
      <c r="C15" s="4" t="s">
        <v>63</v>
      </c>
      <c r="D15" s="4" t="s">
        <v>15</v>
      </c>
      <c r="E15" s="4" t="s">
        <v>16</v>
      </c>
      <c r="F15" s="4" t="s">
        <v>13</v>
      </c>
      <c r="G15" s="4" t="s">
        <v>17</v>
      </c>
      <c r="H15" s="4" t="s">
        <v>60</v>
      </c>
      <c r="I15" s="4" t="s">
        <v>61</v>
      </c>
      <c r="J15" s="4" t="s">
        <v>61</v>
      </c>
      <c r="K15" s="4" t="s">
        <v>62</v>
      </c>
      <c r="L15" s="5">
        <v>102167980</v>
      </c>
      <c r="M15" s="5">
        <v>0</v>
      </c>
      <c r="N15" s="5">
        <v>112384778</v>
      </c>
    </row>
    <row r="16" spans="1:14" s="7" customFormat="1" x14ac:dyDescent="0.35">
      <c r="A16" s="6">
        <v>15</v>
      </c>
      <c r="B16" s="8" t="s">
        <v>13</v>
      </c>
      <c r="C16" s="8" t="s">
        <v>218</v>
      </c>
      <c r="D16" s="8" t="s">
        <v>15</v>
      </c>
      <c r="E16" s="8" t="s">
        <v>16</v>
      </c>
      <c r="F16" s="8" t="s">
        <v>13</v>
      </c>
      <c r="G16" s="8" t="s">
        <v>17</v>
      </c>
      <c r="H16" s="8" t="s">
        <v>219</v>
      </c>
      <c r="I16" s="8" t="s">
        <v>220</v>
      </c>
      <c r="J16" s="8" t="s">
        <v>220</v>
      </c>
      <c r="K16" s="8" t="s">
        <v>221</v>
      </c>
      <c r="L16" s="9">
        <v>33291333</v>
      </c>
      <c r="M16" s="9">
        <v>0</v>
      </c>
      <c r="N16" s="9">
        <v>36620466.299999997</v>
      </c>
    </row>
    <row r="17" spans="1:14" x14ac:dyDescent="0.35">
      <c r="A17" s="6">
        <v>16</v>
      </c>
      <c r="B17" s="4" t="s">
        <v>13</v>
      </c>
      <c r="C17" s="4" t="s">
        <v>64</v>
      </c>
      <c r="D17" s="4" t="s">
        <v>15</v>
      </c>
      <c r="E17" s="4" t="s">
        <v>16</v>
      </c>
      <c r="F17" s="4" t="s">
        <v>13</v>
      </c>
      <c r="G17" s="4" t="s">
        <v>17</v>
      </c>
      <c r="H17" s="4" t="s">
        <v>65</v>
      </c>
      <c r="I17" s="4" t="s">
        <v>66</v>
      </c>
      <c r="J17" s="4" t="s">
        <v>66</v>
      </c>
      <c r="K17" s="4" t="s">
        <v>67</v>
      </c>
      <c r="L17" s="5">
        <v>0</v>
      </c>
      <c r="M17" s="5">
        <v>0</v>
      </c>
      <c r="N17" s="5">
        <v>0</v>
      </c>
    </row>
    <row r="18" spans="1:14" x14ac:dyDescent="0.35">
      <c r="A18" s="6">
        <v>17</v>
      </c>
      <c r="B18" s="4" t="s">
        <v>13</v>
      </c>
      <c r="C18" s="4" t="s">
        <v>68</v>
      </c>
      <c r="D18" s="4" t="s">
        <v>15</v>
      </c>
      <c r="E18" s="4" t="s">
        <v>16</v>
      </c>
      <c r="F18" s="4" t="s">
        <v>13</v>
      </c>
      <c r="G18" s="4" t="s">
        <v>17</v>
      </c>
      <c r="H18" s="4" t="s">
        <v>69</v>
      </c>
      <c r="I18" s="4" t="s">
        <v>70</v>
      </c>
      <c r="J18" s="4" t="s">
        <v>70</v>
      </c>
      <c r="K18" s="4" t="s">
        <v>71</v>
      </c>
      <c r="L18" s="5">
        <v>84000000</v>
      </c>
      <c r="M18" s="5">
        <v>0</v>
      </c>
      <c r="N18" s="5">
        <v>92400000</v>
      </c>
    </row>
    <row r="19" spans="1:14" x14ac:dyDescent="0.35">
      <c r="A19" s="6">
        <v>18</v>
      </c>
      <c r="B19" s="4" t="s">
        <v>13</v>
      </c>
      <c r="C19" s="4" t="s">
        <v>72</v>
      </c>
      <c r="D19" s="4" t="s">
        <v>15</v>
      </c>
      <c r="E19" s="4" t="s">
        <v>16</v>
      </c>
      <c r="F19" s="4" t="s">
        <v>13</v>
      </c>
      <c r="G19" s="4" t="s">
        <v>17</v>
      </c>
      <c r="H19" s="4" t="s">
        <v>73</v>
      </c>
      <c r="I19" s="4" t="s">
        <v>74</v>
      </c>
      <c r="J19" s="4" t="s">
        <v>74</v>
      </c>
      <c r="K19" s="4" t="s">
        <v>75</v>
      </c>
      <c r="L19" s="5">
        <v>33275000</v>
      </c>
      <c r="M19" s="5">
        <v>0</v>
      </c>
      <c r="N19" s="5">
        <v>36602500</v>
      </c>
    </row>
    <row r="20" spans="1:14" x14ac:dyDescent="0.35">
      <c r="A20" s="6">
        <v>19</v>
      </c>
      <c r="B20" s="4" t="s">
        <v>13</v>
      </c>
      <c r="C20" s="4" t="s">
        <v>76</v>
      </c>
      <c r="D20" s="4" t="s">
        <v>15</v>
      </c>
      <c r="E20" s="4" t="s">
        <v>16</v>
      </c>
      <c r="F20" s="4" t="s">
        <v>13</v>
      </c>
      <c r="G20" s="4" t="s">
        <v>17</v>
      </c>
      <c r="H20" s="4" t="s">
        <v>77</v>
      </c>
      <c r="I20" s="4" t="s">
        <v>78</v>
      </c>
      <c r="J20" s="4" t="s">
        <v>78</v>
      </c>
      <c r="K20" s="4" t="s">
        <v>79</v>
      </c>
      <c r="L20" s="5">
        <v>13996500</v>
      </c>
      <c r="M20" s="5">
        <v>0</v>
      </c>
      <c r="N20" s="5">
        <v>15396150</v>
      </c>
    </row>
    <row r="21" spans="1:14" x14ac:dyDescent="0.35">
      <c r="A21" s="6">
        <v>20</v>
      </c>
      <c r="B21" s="4" t="s">
        <v>13</v>
      </c>
      <c r="C21" s="4" t="s">
        <v>80</v>
      </c>
      <c r="D21" s="4" t="s">
        <v>15</v>
      </c>
      <c r="E21" s="4" t="s">
        <v>16</v>
      </c>
      <c r="F21" s="4" t="s">
        <v>13</v>
      </c>
      <c r="G21" s="4" t="s">
        <v>17</v>
      </c>
      <c r="H21" s="4" t="s">
        <v>81</v>
      </c>
      <c r="I21" s="4" t="s">
        <v>82</v>
      </c>
      <c r="J21" s="4" t="s">
        <v>82</v>
      </c>
      <c r="K21" s="4" t="s">
        <v>83</v>
      </c>
      <c r="L21" s="5">
        <v>126457273</v>
      </c>
      <c r="M21" s="5">
        <v>0</v>
      </c>
      <c r="N21" s="5">
        <v>139103000</v>
      </c>
    </row>
    <row r="22" spans="1:14" x14ac:dyDescent="0.35">
      <c r="A22" s="6">
        <v>21</v>
      </c>
      <c r="B22" s="4" t="s">
        <v>13</v>
      </c>
      <c r="C22" s="4" t="s">
        <v>84</v>
      </c>
      <c r="D22" s="4" t="s">
        <v>15</v>
      </c>
      <c r="E22" s="4" t="s">
        <v>16</v>
      </c>
      <c r="F22" s="4" t="s">
        <v>13</v>
      </c>
      <c r="G22" s="4" t="s">
        <v>17</v>
      </c>
      <c r="H22" s="4" t="s">
        <v>43</v>
      </c>
      <c r="I22" s="4" t="s">
        <v>44</v>
      </c>
      <c r="J22" s="4" t="s">
        <v>44</v>
      </c>
      <c r="K22" s="4" t="s">
        <v>45</v>
      </c>
      <c r="L22" s="5">
        <v>124333333</v>
      </c>
      <c r="M22" s="5">
        <v>0</v>
      </c>
      <c r="N22" s="5">
        <v>136766666</v>
      </c>
    </row>
    <row r="23" spans="1:14" x14ac:dyDescent="0.35">
      <c r="A23" s="6">
        <v>22</v>
      </c>
      <c r="B23" s="4" t="s">
        <v>13</v>
      </c>
      <c r="C23" s="4" t="s">
        <v>85</v>
      </c>
      <c r="D23" s="4" t="s">
        <v>15</v>
      </c>
      <c r="E23" s="4" t="s">
        <v>16</v>
      </c>
      <c r="F23" s="4" t="s">
        <v>13</v>
      </c>
      <c r="G23" s="4" t="s">
        <v>17</v>
      </c>
      <c r="H23" s="4" t="s">
        <v>86</v>
      </c>
      <c r="I23" s="4" t="s">
        <v>87</v>
      </c>
      <c r="J23" s="4" t="s">
        <v>87</v>
      </c>
      <c r="K23" s="4" t="s">
        <v>88</v>
      </c>
      <c r="L23" s="5">
        <v>89625000</v>
      </c>
      <c r="M23" s="5">
        <v>0</v>
      </c>
      <c r="N23" s="5">
        <v>98587500</v>
      </c>
    </row>
    <row r="24" spans="1:14" x14ac:dyDescent="0.35">
      <c r="A24" s="6">
        <v>23</v>
      </c>
      <c r="B24" s="4" t="s">
        <v>13</v>
      </c>
      <c r="C24" s="4" t="s">
        <v>89</v>
      </c>
      <c r="D24" s="4" t="s">
        <v>15</v>
      </c>
      <c r="E24" s="4" t="s">
        <v>16</v>
      </c>
      <c r="F24" s="4" t="s">
        <v>13</v>
      </c>
      <c r="G24" s="4" t="s">
        <v>17</v>
      </c>
      <c r="H24" s="4" t="s">
        <v>90</v>
      </c>
      <c r="I24" s="4" t="s">
        <v>91</v>
      </c>
      <c r="J24" s="4" t="s">
        <v>91</v>
      </c>
      <c r="K24" s="4" t="s">
        <v>92</v>
      </c>
      <c r="L24" s="5">
        <v>35250000</v>
      </c>
      <c r="M24" s="5">
        <v>0</v>
      </c>
      <c r="N24" s="5">
        <v>38775000</v>
      </c>
    </row>
    <row r="25" spans="1:14" x14ac:dyDescent="0.35">
      <c r="A25" s="6">
        <v>24</v>
      </c>
      <c r="B25" s="4" t="s">
        <v>13</v>
      </c>
      <c r="C25" s="4" t="s">
        <v>93</v>
      </c>
      <c r="D25" s="4" t="s">
        <v>15</v>
      </c>
      <c r="E25" s="4" t="s">
        <v>16</v>
      </c>
      <c r="F25" s="4" t="s">
        <v>13</v>
      </c>
      <c r="G25" s="4" t="s">
        <v>17</v>
      </c>
      <c r="H25" s="4" t="s">
        <v>94</v>
      </c>
      <c r="I25" s="4" t="s">
        <v>95</v>
      </c>
      <c r="J25" s="4" t="s">
        <v>95</v>
      </c>
      <c r="K25" s="4" t="s">
        <v>96</v>
      </c>
      <c r="L25" s="5">
        <v>152875000</v>
      </c>
      <c r="M25" s="5">
        <v>0</v>
      </c>
      <c r="N25" s="5">
        <v>168162500</v>
      </c>
    </row>
    <row r="26" spans="1:14" x14ac:dyDescent="0.35">
      <c r="A26" s="6">
        <v>25</v>
      </c>
      <c r="B26" s="4" t="s">
        <v>13</v>
      </c>
      <c r="C26" s="4" t="s">
        <v>97</v>
      </c>
      <c r="D26" s="4" t="s">
        <v>15</v>
      </c>
      <c r="E26" s="4" t="s">
        <v>16</v>
      </c>
      <c r="F26" s="4" t="s">
        <v>13</v>
      </c>
      <c r="G26" s="4" t="s">
        <v>17</v>
      </c>
      <c r="H26" s="4" t="s">
        <v>98</v>
      </c>
      <c r="I26" s="4" t="s">
        <v>99</v>
      </c>
      <c r="J26" s="4" t="s">
        <v>99</v>
      </c>
      <c r="K26" s="4" t="s">
        <v>100</v>
      </c>
      <c r="L26" s="5">
        <v>63741000</v>
      </c>
      <c r="M26" s="5">
        <v>0</v>
      </c>
      <c r="N26" s="5">
        <v>70115100</v>
      </c>
    </row>
    <row r="27" spans="1:14" x14ac:dyDescent="0.35">
      <c r="A27" s="6">
        <v>26</v>
      </c>
      <c r="B27" s="4" t="s">
        <v>13</v>
      </c>
      <c r="C27" s="4" t="s">
        <v>101</v>
      </c>
      <c r="D27" s="4" t="s">
        <v>15</v>
      </c>
      <c r="E27" s="4" t="s">
        <v>16</v>
      </c>
      <c r="F27" s="4" t="s">
        <v>13</v>
      </c>
      <c r="G27" s="4" t="s">
        <v>17</v>
      </c>
      <c r="H27" s="4" t="s">
        <v>102</v>
      </c>
      <c r="I27" s="4" t="s">
        <v>103</v>
      </c>
      <c r="J27" s="4" t="s">
        <v>103</v>
      </c>
      <c r="K27" s="4" t="s">
        <v>104</v>
      </c>
      <c r="L27" s="5">
        <v>203280000</v>
      </c>
      <c r="M27" s="5">
        <v>0</v>
      </c>
      <c r="N27" s="5">
        <v>223608000</v>
      </c>
    </row>
    <row r="28" spans="1:14" x14ac:dyDescent="0.35">
      <c r="A28" s="6">
        <v>27</v>
      </c>
      <c r="B28" s="4" t="s">
        <v>13</v>
      </c>
      <c r="C28" s="4" t="s">
        <v>105</v>
      </c>
      <c r="D28" s="4" t="s">
        <v>15</v>
      </c>
      <c r="E28" s="4" t="s">
        <v>16</v>
      </c>
      <c r="F28" s="4" t="s">
        <v>13</v>
      </c>
      <c r="G28" s="4" t="s">
        <v>17</v>
      </c>
      <c r="H28" s="4" t="s">
        <v>106</v>
      </c>
      <c r="I28" s="4" t="s">
        <v>107</v>
      </c>
      <c r="J28" s="4" t="s">
        <v>107</v>
      </c>
      <c r="K28" s="4" t="s">
        <v>108</v>
      </c>
      <c r="L28" s="5">
        <v>75888000</v>
      </c>
      <c r="M28" s="5">
        <v>0</v>
      </c>
      <c r="N28" s="5">
        <v>83476800</v>
      </c>
    </row>
    <row r="29" spans="1:14" x14ac:dyDescent="0.35">
      <c r="A29" s="6">
        <v>28</v>
      </c>
      <c r="B29" s="4" t="s">
        <v>13</v>
      </c>
      <c r="C29" s="4" t="s">
        <v>109</v>
      </c>
      <c r="D29" s="4" t="s">
        <v>15</v>
      </c>
      <c r="E29" s="4" t="s">
        <v>16</v>
      </c>
      <c r="F29" s="4" t="s">
        <v>13</v>
      </c>
      <c r="G29" s="4" t="s">
        <v>17</v>
      </c>
      <c r="H29" s="4" t="s">
        <v>110</v>
      </c>
      <c r="I29" s="4" t="s">
        <v>111</v>
      </c>
      <c r="J29" s="4" t="s">
        <v>111</v>
      </c>
      <c r="K29" s="4" t="s">
        <v>112</v>
      </c>
      <c r="L29" s="5">
        <v>35640000</v>
      </c>
      <c r="M29" s="5">
        <v>0</v>
      </c>
      <c r="N29" s="5">
        <v>39204000</v>
      </c>
    </row>
    <row r="30" spans="1:14" x14ac:dyDescent="0.35">
      <c r="A30" s="6">
        <v>29</v>
      </c>
      <c r="B30" s="4" t="s">
        <v>13</v>
      </c>
      <c r="C30" s="4" t="s">
        <v>113</v>
      </c>
      <c r="D30" s="4" t="s">
        <v>15</v>
      </c>
      <c r="E30" s="4" t="s">
        <v>16</v>
      </c>
      <c r="F30" s="4" t="s">
        <v>13</v>
      </c>
      <c r="G30" s="4" t="s">
        <v>17</v>
      </c>
      <c r="H30" s="4" t="s">
        <v>114</v>
      </c>
      <c r="I30" s="4" t="s">
        <v>115</v>
      </c>
      <c r="J30" s="4" t="s">
        <v>115</v>
      </c>
      <c r="K30" s="4" t="s">
        <v>116</v>
      </c>
      <c r="L30" s="5">
        <v>38925000</v>
      </c>
      <c r="M30" s="5">
        <v>0</v>
      </c>
      <c r="N30" s="5">
        <v>42817500</v>
      </c>
    </row>
    <row r="31" spans="1:14" x14ac:dyDescent="0.35">
      <c r="A31" s="6">
        <v>30</v>
      </c>
      <c r="B31" s="4" t="s">
        <v>13</v>
      </c>
      <c r="C31" s="4" t="s">
        <v>117</v>
      </c>
      <c r="D31" s="4" t="s">
        <v>15</v>
      </c>
      <c r="E31" s="4" t="s">
        <v>16</v>
      </c>
      <c r="F31" s="4" t="s">
        <v>13</v>
      </c>
      <c r="G31" s="4" t="s">
        <v>17</v>
      </c>
      <c r="H31" s="4" t="s">
        <v>118</v>
      </c>
      <c r="I31" s="4" t="s">
        <v>119</v>
      </c>
      <c r="J31" s="4" t="s">
        <v>119</v>
      </c>
      <c r="K31" s="4" t="s">
        <v>120</v>
      </c>
      <c r="L31" s="5">
        <v>40500000</v>
      </c>
      <c r="M31" s="5">
        <v>0</v>
      </c>
      <c r="N31" s="5">
        <v>44550000</v>
      </c>
    </row>
    <row r="32" spans="1:14" x14ac:dyDescent="0.35">
      <c r="A32" s="6">
        <v>31</v>
      </c>
      <c r="B32" s="4" t="s">
        <v>13</v>
      </c>
      <c r="C32" s="4" t="s">
        <v>121</v>
      </c>
      <c r="D32" s="4" t="s">
        <v>15</v>
      </c>
      <c r="E32" s="4" t="s">
        <v>16</v>
      </c>
      <c r="F32" s="4" t="s">
        <v>13</v>
      </c>
      <c r="G32" s="4" t="s">
        <v>17</v>
      </c>
      <c r="H32" s="4" t="s">
        <v>122</v>
      </c>
      <c r="I32" s="4" t="s">
        <v>123</v>
      </c>
      <c r="J32" s="4" t="s">
        <v>123</v>
      </c>
      <c r="K32" s="4" t="s">
        <v>124</v>
      </c>
      <c r="L32" s="5">
        <v>13620000</v>
      </c>
      <c r="M32" s="5">
        <v>0</v>
      </c>
      <c r="N32" s="5">
        <v>14982000</v>
      </c>
    </row>
    <row r="33" spans="1:14" x14ac:dyDescent="0.35">
      <c r="A33" s="6">
        <v>32</v>
      </c>
      <c r="B33" s="4" t="s">
        <v>13</v>
      </c>
      <c r="C33" s="4" t="s">
        <v>125</v>
      </c>
      <c r="D33" s="4" t="s">
        <v>15</v>
      </c>
      <c r="E33" s="4" t="s">
        <v>16</v>
      </c>
      <c r="F33" s="4" t="s">
        <v>13</v>
      </c>
      <c r="G33" s="4" t="s">
        <v>17</v>
      </c>
      <c r="H33" s="4" t="s">
        <v>27</v>
      </c>
      <c r="I33" s="4" t="s">
        <v>28</v>
      </c>
      <c r="J33" s="4" t="s">
        <v>28</v>
      </c>
      <c r="K33" s="4" t="s">
        <v>29</v>
      </c>
      <c r="L33" s="5">
        <v>53800000</v>
      </c>
      <c r="M33" s="5">
        <v>0</v>
      </c>
      <c r="N33" s="5">
        <v>59180000</v>
      </c>
    </row>
    <row r="34" spans="1:14" x14ac:dyDescent="0.35">
      <c r="A34" s="6">
        <v>33</v>
      </c>
      <c r="B34" s="4" t="s">
        <v>13</v>
      </c>
      <c r="C34" s="4" t="s">
        <v>126</v>
      </c>
      <c r="D34" s="4" t="s">
        <v>15</v>
      </c>
      <c r="E34" s="4" t="s">
        <v>16</v>
      </c>
      <c r="F34" s="4" t="s">
        <v>13</v>
      </c>
      <c r="G34" s="4" t="s">
        <v>17</v>
      </c>
      <c r="H34" s="4" t="s">
        <v>127</v>
      </c>
      <c r="I34" s="4" t="s">
        <v>128</v>
      </c>
      <c r="J34" s="4" t="s">
        <v>128</v>
      </c>
      <c r="K34" s="4" t="s">
        <v>108</v>
      </c>
      <c r="L34" s="5">
        <v>133037936</v>
      </c>
      <c r="M34" s="5">
        <v>0</v>
      </c>
      <c r="N34" s="5">
        <v>146341729</v>
      </c>
    </row>
    <row r="35" spans="1:14" x14ac:dyDescent="0.35">
      <c r="A35" s="6">
        <v>34</v>
      </c>
      <c r="B35" s="4" t="s">
        <v>13</v>
      </c>
      <c r="C35" s="4" t="s">
        <v>129</v>
      </c>
      <c r="D35" s="4" t="s">
        <v>15</v>
      </c>
      <c r="E35" s="4" t="s">
        <v>16</v>
      </c>
      <c r="F35" s="4" t="s">
        <v>13</v>
      </c>
      <c r="G35" s="4" t="s">
        <v>17</v>
      </c>
      <c r="H35" s="4" t="s">
        <v>130</v>
      </c>
      <c r="I35" s="4" t="s">
        <v>131</v>
      </c>
      <c r="J35" s="4" t="s">
        <v>131</v>
      </c>
      <c r="K35" s="4" t="s">
        <v>132</v>
      </c>
      <c r="L35" s="5">
        <v>14980000</v>
      </c>
      <c r="M35" s="5">
        <v>0</v>
      </c>
      <c r="N35" s="5">
        <v>16478000</v>
      </c>
    </row>
    <row r="36" spans="1:14" x14ac:dyDescent="0.35">
      <c r="A36" s="6">
        <v>35</v>
      </c>
      <c r="B36" s="4" t="s">
        <v>13</v>
      </c>
      <c r="C36" s="4" t="s">
        <v>133</v>
      </c>
      <c r="D36" s="4" t="s">
        <v>15</v>
      </c>
      <c r="E36" s="4" t="s">
        <v>16</v>
      </c>
      <c r="F36" s="4" t="s">
        <v>13</v>
      </c>
      <c r="G36" s="4" t="s">
        <v>17</v>
      </c>
      <c r="H36" s="4" t="s">
        <v>134</v>
      </c>
      <c r="I36" s="4" t="s">
        <v>135</v>
      </c>
      <c r="J36" s="4" t="s">
        <v>135</v>
      </c>
      <c r="K36" s="4" t="s">
        <v>136</v>
      </c>
      <c r="L36" s="5">
        <v>95000000</v>
      </c>
      <c r="M36" s="5">
        <v>0</v>
      </c>
      <c r="N36" s="5">
        <v>104500000</v>
      </c>
    </row>
    <row r="37" spans="1:14" x14ac:dyDescent="0.35">
      <c r="A37" s="6">
        <v>36</v>
      </c>
      <c r="B37" s="4" t="s">
        <v>13</v>
      </c>
      <c r="C37" s="4" t="s">
        <v>137</v>
      </c>
      <c r="D37" s="4" t="s">
        <v>15</v>
      </c>
      <c r="E37" s="4" t="s">
        <v>16</v>
      </c>
      <c r="F37" s="4" t="s">
        <v>13</v>
      </c>
      <c r="G37" s="4" t="s">
        <v>17</v>
      </c>
      <c r="H37" s="4" t="s">
        <v>138</v>
      </c>
      <c r="I37" s="4" t="s">
        <v>139</v>
      </c>
      <c r="J37" s="4" t="s">
        <v>139</v>
      </c>
      <c r="K37" s="4" t="s">
        <v>140</v>
      </c>
      <c r="L37" s="5">
        <v>86220455</v>
      </c>
      <c r="M37" s="5">
        <v>0</v>
      </c>
      <c r="N37" s="5">
        <v>94842500</v>
      </c>
    </row>
    <row r="38" spans="1:14" x14ac:dyDescent="0.35">
      <c r="A38" s="6">
        <v>37</v>
      </c>
      <c r="B38" s="4" t="s">
        <v>13</v>
      </c>
      <c r="C38" s="4" t="s">
        <v>141</v>
      </c>
      <c r="D38" s="4" t="s">
        <v>15</v>
      </c>
      <c r="E38" s="4" t="s">
        <v>16</v>
      </c>
      <c r="F38" s="4" t="s">
        <v>13</v>
      </c>
      <c r="G38" s="4" t="s">
        <v>17</v>
      </c>
      <c r="H38" s="4" t="s">
        <v>142</v>
      </c>
      <c r="I38" s="4" t="s">
        <v>143</v>
      </c>
      <c r="J38" s="4" t="s">
        <v>143</v>
      </c>
      <c r="K38" s="4" t="s">
        <v>144</v>
      </c>
      <c r="L38" s="5">
        <v>15345600</v>
      </c>
      <c r="M38" s="5">
        <v>0</v>
      </c>
      <c r="N38" s="5">
        <v>16880160</v>
      </c>
    </row>
    <row r="39" spans="1:14" x14ac:dyDescent="0.35">
      <c r="A39" s="6">
        <v>38</v>
      </c>
      <c r="B39" s="4" t="s">
        <v>13</v>
      </c>
      <c r="C39" s="4" t="s">
        <v>145</v>
      </c>
      <c r="D39" s="4" t="s">
        <v>15</v>
      </c>
      <c r="E39" s="4" t="s">
        <v>16</v>
      </c>
      <c r="F39" s="4" t="s">
        <v>13</v>
      </c>
      <c r="G39" s="4" t="s">
        <v>17</v>
      </c>
      <c r="H39" s="4" t="s">
        <v>146</v>
      </c>
      <c r="I39" s="4" t="s">
        <v>147</v>
      </c>
      <c r="J39" s="4" t="s">
        <v>147</v>
      </c>
      <c r="K39" s="4" t="s">
        <v>148</v>
      </c>
      <c r="L39" s="5">
        <v>23006280</v>
      </c>
      <c r="M39" s="5">
        <v>0</v>
      </c>
      <c r="N39" s="5">
        <v>25306908</v>
      </c>
    </row>
    <row r="40" spans="1:14" x14ac:dyDescent="0.35">
      <c r="A40" s="6">
        <v>39</v>
      </c>
      <c r="B40" s="4" t="s">
        <v>13</v>
      </c>
      <c r="C40" s="4" t="s">
        <v>149</v>
      </c>
      <c r="D40" s="4" t="s">
        <v>15</v>
      </c>
      <c r="E40" s="4" t="s">
        <v>16</v>
      </c>
      <c r="F40" s="4" t="s">
        <v>13</v>
      </c>
      <c r="G40" s="4" t="s">
        <v>17</v>
      </c>
      <c r="H40" s="4" t="s">
        <v>150</v>
      </c>
      <c r="I40" s="4" t="s">
        <v>151</v>
      </c>
      <c r="J40" s="4" t="s">
        <v>151</v>
      </c>
      <c r="K40" s="4" t="s">
        <v>152</v>
      </c>
      <c r="L40" s="5">
        <v>16500000</v>
      </c>
      <c r="M40" s="5">
        <v>0</v>
      </c>
      <c r="N40" s="5">
        <v>18150000</v>
      </c>
    </row>
    <row r="41" spans="1:14" x14ac:dyDescent="0.35">
      <c r="A41" s="6">
        <v>40</v>
      </c>
      <c r="B41" s="4" t="s">
        <v>13</v>
      </c>
      <c r="C41" s="4" t="s">
        <v>153</v>
      </c>
      <c r="D41" s="4" t="s">
        <v>15</v>
      </c>
      <c r="E41" s="4" t="s">
        <v>16</v>
      </c>
      <c r="F41" s="4" t="s">
        <v>13</v>
      </c>
      <c r="G41" s="4" t="s">
        <v>17</v>
      </c>
      <c r="H41" s="4" t="s">
        <v>154</v>
      </c>
      <c r="I41" s="4" t="s">
        <v>155</v>
      </c>
      <c r="J41" s="4" t="s">
        <v>155</v>
      </c>
      <c r="K41" s="4" t="s">
        <v>156</v>
      </c>
      <c r="L41" s="5">
        <v>99256667</v>
      </c>
      <c r="M41" s="5">
        <v>0</v>
      </c>
      <c r="N41" s="5">
        <v>109182333</v>
      </c>
    </row>
    <row r="42" spans="1:14" x14ac:dyDescent="0.35">
      <c r="A42" s="6">
        <v>41</v>
      </c>
      <c r="B42" s="4" t="s">
        <v>13</v>
      </c>
      <c r="C42" s="4" t="s">
        <v>157</v>
      </c>
      <c r="D42" s="4" t="s">
        <v>15</v>
      </c>
      <c r="E42" s="4" t="s">
        <v>16</v>
      </c>
      <c r="F42" s="4" t="s">
        <v>13</v>
      </c>
      <c r="G42" s="4" t="s">
        <v>17</v>
      </c>
      <c r="H42" s="4" t="s">
        <v>158</v>
      </c>
      <c r="I42" s="4" t="s">
        <v>159</v>
      </c>
      <c r="J42" s="4" t="s">
        <v>159</v>
      </c>
      <c r="K42" s="4" t="s">
        <v>160</v>
      </c>
      <c r="L42" s="5">
        <v>42600000</v>
      </c>
      <c r="M42" s="5">
        <v>0</v>
      </c>
      <c r="N42" s="5">
        <v>46860000</v>
      </c>
    </row>
    <row r="43" spans="1:14" x14ac:dyDescent="0.35">
      <c r="A43" s="6">
        <v>42</v>
      </c>
      <c r="B43" s="4" t="s">
        <v>13</v>
      </c>
      <c r="C43" s="4" t="s">
        <v>161</v>
      </c>
      <c r="D43" s="4" t="s">
        <v>15</v>
      </c>
      <c r="E43" s="4" t="s">
        <v>16</v>
      </c>
      <c r="F43" s="4" t="s">
        <v>13</v>
      </c>
      <c r="G43" s="4" t="s">
        <v>17</v>
      </c>
      <c r="H43" s="4" t="s">
        <v>60</v>
      </c>
      <c r="I43" s="4" t="s">
        <v>61</v>
      </c>
      <c r="J43" s="4" t="s">
        <v>61</v>
      </c>
      <c r="K43" s="4" t="s">
        <v>62</v>
      </c>
      <c r="L43" s="5">
        <v>85500000</v>
      </c>
      <c r="M43" s="5">
        <v>0</v>
      </c>
      <c r="N43" s="5">
        <v>94050000</v>
      </c>
    </row>
    <row r="44" spans="1:14" x14ac:dyDescent="0.35">
      <c r="A44" s="6">
        <v>43</v>
      </c>
      <c r="B44" s="4" t="s">
        <v>13</v>
      </c>
      <c r="C44" s="4" t="s">
        <v>162</v>
      </c>
      <c r="D44" s="4" t="s">
        <v>15</v>
      </c>
      <c r="E44" s="4" t="s">
        <v>16</v>
      </c>
      <c r="F44" s="4" t="s">
        <v>13</v>
      </c>
      <c r="G44" s="4" t="s">
        <v>17</v>
      </c>
      <c r="H44" s="4" t="s">
        <v>163</v>
      </c>
      <c r="I44" s="4" t="s">
        <v>164</v>
      </c>
      <c r="J44" s="4" t="s">
        <v>164</v>
      </c>
      <c r="K44" s="4" t="s">
        <v>165</v>
      </c>
      <c r="L44" s="5">
        <v>14698400</v>
      </c>
      <c r="M44" s="5">
        <v>0</v>
      </c>
      <c r="N44" s="5">
        <v>16168240</v>
      </c>
    </row>
    <row r="45" spans="1:14" x14ac:dyDescent="0.35">
      <c r="A45" s="6">
        <v>44</v>
      </c>
      <c r="B45" s="4" t="s">
        <v>13</v>
      </c>
      <c r="C45" s="4" t="s">
        <v>166</v>
      </c>
      <c r="D45" s="4" t="s">
        <v>15</v>
      </c>
      <c r="E45" s="4" t="s">
        <v>16</v>
      </c>
      <c r="F45" s="4" t="s">
        <v>13</v>
      </c>
      <c r="G45" s="4" t="s">
        <v>17</v>
      </c>
      <c r="H45" s="4" t="s">
        <v>106</v>
      </c>
      <c r="I45" s="4" t="s">
        <v>107</v>
      </c>
      <c r="J45" s="4" t="s">
        <v>107</v>
      </c>
      <c r="K45" s="4" t="s">
        <v>108</v>
      </c>
      <c r="L45" s="5">
        <v>20506500</v>
      </c>
      <c r="M45" s="5">
        <v>0</v>
      </c>
      <c r="N45" s="5">
        <v>22557150</v>
      </c>
    </row>
    <row r="46" spans="1:14" x14ac:dyDescent="0.35">
      <c r="A46" s="6">
        <v>45</v>
      </c>
      <c r="B46" s="4" t="s">
        <v>13</v>
      </c>
      <c r="C46" s="4" t="s">
        <v>167</v>
      </c>
      <c r="D46" s="4" t="s">
        <v>15</v>
      </c>
      <c r="E46" s="4" t="s">
        <v>16</v>
      </c>
      <c r="F46" s="4" t="s">
        <v>13</v>
      </c>
      <c r="G46" s="4" t="s">
        <v>17</v>
      </c>
      <c r="H46" s="4" t="s">
        <v>168</v>
      </c>
      <c r="I46" s="4" t="s">
        <v>169</v>
      </c>
      <c r="J46" s="4" t="s">
        <v>169</v>
      </c>
      <c r="K46" s="4" t="s">
        <v>170</v>
      </c>
      <c r="L46" s="5">
        <v>14080000</v>
      </c>
      <c r="M46" s="5">
        <v>0</v>
      </c>
      <c r="N46" s="5">
        <v>15488000</v>
      </c>
    </row>
    <row r="47" spans="1:14" x14ac:dyDescent="0.35">
      <c r="A47" s="6">
        <v>46</v>
      </c>
      <c r="B47" s="4" t="s">
        <v>13</v>
      </c>
      <c r="C47" s="4" t="s">
        <v>171</v>
      </c>
      <c r="D47" s="4" t="s">
        <v>15</v>
      </c>
      <c r="E47" s="4" t="s">
        <v>16</v>
      </c>
      <c r="F47" s="4" t="s">
        <v>13</v>
      </c>
      <c r="G47" s="4" t="s">
        <v>17</v>
      </c>
      <c r="H47" s="4" t="s">
        <v>86</v>
      </c>
      <c r="I47" s="4" t="s">
        <v>87</v>
      </c>
      <c r="J47" s="4" t="s">
        <v>87</v>
      </c>
      <c r="K47" s="4" t="s">
        <v>88</v>
      </c>
      <c r="L47" s="5">
        <v>163130636</v>
      </c>
      <c r="M47" s="5">
        <v>0</v>
      </c>
      <c r="N47" s="5">
        <v>179443699</v>
      </c>
    </row>
    <row r="48" spans="1:14" x14ac:dyDescent="0.35">
      <c r="A48" s="6">
        <v>47</v>
      </c>
      <c r="B48" s="4" t="s">
        <v>13</v>
      </c>
      <c r="C48" s="4" t="s">
        <v>172</v>
      </c>
      <c r="D48" s="4" t="s">
        <v>15</v>
      </c>
      <c r="E48" s="4" t="s">
        <v>16</v>
      </c>
      <c r="F48" s="4" t="s">
        <v>13</v>
      </c>
      <c r="G48" s="4" t="s">
        <v>17</v>
      </c>
      <c r="H48" s="4" t="s">
        <v>106</v>
      </c>
      <c r="I48" s="4" t="s">
        <v>107</v>
      </c>
      <c r="J48" s="4" t="s">
        <v>107</v>
      </c>
      <c r="K48" s="4" t="s">
        <v>108</v>
      </c>
      <c r="L48" s="5">
        <v>43460000</v>
      </c>
      <c r="M48" s="5">
        <v>0</v>
      </c>
      <c r="N48" s="5">
        <v>47806000</v>
      </c>
    </row>
    <row r="49" spans="1:14" x14ac:dyDescent="0.35">
      <c r="A49" s="6">
        <v>48</v>
      </c>
      <c r="B49" s="4" t="s">
        <v>13</v>
      </c>
      <c r="C49" s="4" t="s">
        <v>173</v>
      </c>
      <c r="D49" s="4" t="s">
        <v>15</v>
      </c>
      <c r="E49" s="4" t="s">
        <v>16</v>
      </c>
      <c r="F49" s="4" t="s">
        <v>13</v>
      </c>
      <c r="G49" s="4" t="s">
        <v>17</v>
      </c>
      <c r="H49" s="4" t="s">
        <v>174</v>
      </c>
      <c r="I49" s="4" t="s">
        <v>175</v>
      </c>
      <c r="J49" s="4" t="s">
        <v>175</v>
      </c>
      <c r="K49" s="4" t="s">
        <v>176</v>
      </c>
      <c r="L49" s="5">
        <v>13200000</v>
      </c>
      <c r="M49" s="5">
        <v>0</v>
      </c>
      <c r="N49" s="5">
        <v>14520000</v>
      </c>
    </row>
    <row r="50" spans="1:14" x14ac:dyDescent="0.35">
      <c r="A50" s="6">
        <v>49</v>
      </c>
      <c r="B50" s="4" t="s">
        <v>13</v>
      </c>
      <c r="C50" s="4" t="s">
        <v>177</v>
      </c>
      <c r="D50" s="4" t="s">
        <v>15</v>
      </c>
      <c r="E50" s="4" t="s">
        <v>16</v>
      </c>
      <c r="F50" s="4" t="s">
        <v>13</v>
      </c>
      <c r="G50" s="4" t="s">
        <v>17</v>
      </c>
      <c r="H50" s="4" t="s">
        <v>178</v>
      </c>
      <c r="I50" s="4" t="s">
        <v>179</v>
      </c>
      <c r="J50" s="4" t="s">
        <v>179</v>
      </c>
      <c r="K50" s="4" t="s">
        <v>180</v>
      </c>
      <c r="L50" s="5">
        <v>36250000</v>
      </c>
      <c r="M50" s="5">
        <v>0</v>
      </c>
      <c r="N50" s="5">
        <v>39875000</v>
      </c>
    </row>
    <row r="51" spans="1:14" x14ac:dyDescent="0.35">
      <c r="A51" s="6">
        <v>50</v>
      </c>
      <c r="B51" s="4" t="s">
        <v>13</v>
      </c>
      <c r="C51" s="4" t="s">
        <v>181</v>
      </c>
      <c r="D51" s="4" t="s">
        <v>15</v>
      </c>
      <c r="E51" s="4" t="s">
        <v>16</v>
      </c>
      <c r="F51" s="4" t="s">
        <v>13</v>
      </c>
      <c r="G51" s="4" t="s">
        <v>17</v>
      </c>
      <c r="H51" s="4" t="s">
        <v>182</v>
      </c>
      <c r="I51" s="4" t="s">
        <v>183</v>
      </c>
      <c r="J51" s="4" t="s">
        <v>183</v>
      </c>
      <c r="K51" s="4" t="s">
        <v>184</v>
      </c>
      <c r="L51" s="5">
        <v>11264000</v>
      </c>
      <c r="M51" s="5">
        <v>0</v>
      </c>
      <c r="N51" s="5">
        <v>12390400</v>
      </c>
    </row>
    <row r="52" spans="1:14" x14ac:dyDescent="0.35">
      <c r="A52" s="6">
        <v>51</v>
      </c>
      <c r="B52" s="4" t="s">
        <v>13</v>
      </c>
      <c r="C52" s="4" t="s">
        <v>185</v>
      </c>
      <c r="D52" s="4" t="s">
        <v>15</v>
      </c>
      <c r="E52" s="4" t="s">
        <v>16</v>
      </c>
      <c r="F52" s="4" t="s">
        <v>13</v>
      </c>
      <c r="G52" s="4" t="s">
        <v>17</v>
      </c>
      <c r="H52" s="4" t="s">
        <v>35</v>
      </c>
      <c r="I52" s="4" t="s">
        <v>36</v>
      </c>
      <c r="J52" s="4" t="s">
        <v>36</v>
      </c>
      <c r="K52" s="4" t="s">
        <v>37</v>
      </c>
      <c r="L52" s="5">
        <v>17000000</v>
      </c>
      <c r="M52" s="5">
        <v>0</v>
      </c>
      <c r="N52" s="5">
        <v>18700000</v>
      </c>
    </row>
    <row r="53" spans="1:14" x14ac:dyDescent="0.35">
      <c r="A53" s="6">
        <v>52</v>
      </c>
      <c r="B53" s="4" t="s">
        <v>13</v>
      </c>
      <c r="C53" s="4" t="s">
        <v>186</v>
      </c>
      <c r="D53" s="4" t="s">
        <v>15</v>
      </c>
      <c r="E53" s="4" t="s">
        <v>16</v>
      </c>
      <c r="F53" s="4" t="s">
        <v>13</v>
      </c>
      <c r="G53" s="4" t="s">
        <v>17</v>
      </c>
      <c r="H53" s="4" t="s">
        <v>106</v>
      </c>
      <c r="I53" s="4" t="s">
        <v>107</v>
      </c>
      <c r="J53" s="4" t="s">
        <v>107</v>
      </c>
      <c r="K53" s="4" t="s">
        <v>108</v>
      </c>
      <c r="L53" s="5">
        <v>55860000</v>
      </c>
      <c r="M53" s="5">
        <v>0</v>
      </c>
      <c r="N53" s="5">
        <v>61446000</v>
      </c>
    </row>
    <row r="54" spans="1:14" x14ac:dyDescent="0.35">
      <c r="A54" s="6">
        <v>53</v>
      </c>
      <c r="B54" s="4" t="s">
        <v>13</v>
      </c>
      <c r="C54" s="4" t="s">
        <v>187</v>
      </c>
      <c r="D54" s="4" t="s">
        <v>15</v>
      </c>
      <c r="E54" s="4" t="s">
        <v>16</v>
      </c>
      <c r="F54" s="4" t="s">
        <v>13</v>
      </c>
      <c r="G54" s="4" t="s">
        <v>17</v>
      </c>
      <c r="H54" s="4" t="s">
        <v>142</v>
      </c>
      <c r="I54" s="4" t="s">
        <v>143</v>
      </c>
      <c r="J54" s="4" t="s">
        <v>143</v>
      </c>
      <c r="K54" s="4" t="s">
        <v>144</v>
      </c>
      <c r="L54" s="5">
        <v>20100000</v>
      </c>
      <c r="M54" s="5">
        <v>0</v>
      </c>
      <c r="N54" s="5">
        <v>22110000</v>
      </c>
    </row>
    <row r="55" spans="1:14" x14ac:dyDescent="0.35">
      <c r="A55" s="6">
        <v>54</v>
      </c>
      <c r="B55" s="4" t="s">
        <v>13</v>
      </c>
      <c r="C55" s="4" t="s">
        <v>188</v>
      </c>
      <c r="D55" s="4" t="s">
        <v>15</v>
      </c>
      <c r="E55" s="4" t="s">
        <v>16</v>
      </c>
      <c r="F55" s="4" t="s">
        <v>13</v>
      </c>
      <c r="G55" s="4" t="s">
        <v>17</v>
      </c>
      <c r="H55" s="4" t="s">
        <v>189</v>
      </c>
      <c r="I55" s="4" t="s">
        <v>190</v>
      </c>
      <c r="J55" s="4" t="s">
        <v>190</v>
      </c>
      <c r="K55" s="4" t="s">
        <v>191</v>
      </c>
      <c r="L55" s="5">
        <v>105000000</v>
      </c>
      <c r="M55" s="5">
        <v>0</v>
      </c>
      <c r="N55" s="5">
        <v>115500000</v>
      </c>
    </row>
    <row r="56" spans="1:14" x14ac:dyDescent="0.35">
      <c r="A56" s="6">
        <v>55</v>
      </c>
      <c r="B56" s="4" t="s">
        <v>13</v>
      </c>
      <c r="C56" s="4" t="s">
        <v>192</v>
      </c>
      <c r="D56" s="4" t="s">
        <v>15</v>
      </c>
      <c r="E56" s="4" t="s">
        <v>16</v>
      </c>
      <c r="F56" s="4" t="s">
        <v>13</v>
      </c>
      <c r="G56" s="4" t="s">
        <v>17</v>
      </c>
      <c r="H56" s="4" t="s">
        <v>193</v>
      </c>
      <c r="I56" s="4" t="s">
        <v>194</v>
      </c>
      <c r="J56" s="4" t="s">
        <v>194</v>
      </c>
      <c r="K56" s="4" t="s">
        <v>195</v>
      </c>
      <c r="L56" s="5">
        <v>61068000</v>
      </c>
      <c r="M56" s="5">
        <v>0</v>
      </c>
      <c r="N56" s="5">
        <v>67174800</v>
      </c>
    </row>
    <row r="57" spans="1:14" x14ac:dyDescent="0.35">
      <c r="A57" s="6">
        <v>56</v>
      </c>
      <c r="B57" s="4" t="s">
        <v>13</v>
      </c>
      <c r="C57" s="4" t="s">
        <v>196</v>
      </c>
      <c r="D57" s="4" t="s">
        <v>15</v>
      </c>
      <c r="E57" s="4" t="s">
        <v>16</v>
      </c>
      <c r="F57" s="4" t="s">
        <v>13</v>
      </c>
      <c r="G57" s="4" t="s">
        <v>17</v>
      </c>
      <c r="H57" s="4" t="s">
        <v>197</v>
      </c>
      <c r="I57" s="4" t="s">
        <v>198</v>
      </c>
      <c r="J57" s="4" t="s">
        <v>198</v>
      </c>
      <c r="K57" s="4" t="s">
        <v>199</v>
      </c>
      <c r="L57" s="5">
        <v>36300000</v>
      </c>
      <c r="M57" s="5">
        <v>0</v>
      </c>
      <c r="N57" s="5">
        <v>39930000</v>
      </c>
    </row>
    <row r="58" spans="1:14" x14ac:dyDescent="0.35">
      <c r="A58" s="6">
        <v>57</v>
      </c>
      <c r="B58" s="4" t="s">
        <v>13</v>
      </c>
      <c r="C58" s="4" t="s">
        <v>200</v>
      </c>
      <c r="D58" s="4" t="s">
        <v>15</v>
      </c>
      <c r="E58" s="4" t="s">
        <v>16</v>
      </c>
      <c r="F58" s="4" t="s">
        <v>13</v>
      </c>
      <c r="G58" s="4" t="s">
        <v>17</v>
      </c>
      <c r="H58" s="4" t="s">
        <v>201</v>
      </c>
      <c r="I58" s="4" t="s">
        <v>202</v>
      </c>
      <c r="J58" s="4" t="s">
        <v>202</v>
      </c>
      <c r="K58" s="4" t="s">
        <v>203</v>
      </c>
      <c r="L58" s="5">
        <v>28800000</v>
      </c>
      <c r="M58" s="5">
        <v>0</v>
      </c>
      <c r="N58" s="5">
        <v>31680000</v>
      </c>
    </row>
    <row r="59" spans="1:14" x14ac:dyDescent="0.35">
      <c r="A59" s="6">
        <v>58</v>
      </c>
      <c r="B59" s="4" t="s">
        <v>13</v>
      </c>
      <c r="C59" s="4" t="s">
        <v>204</v>
      </c>
      <c r="D59" s="4" t="s">
        <v>15</v>
      </c>
      <c r="E59" s="4" t="s">
        <v>16</v>
      </c>
      <c r="F59" s="4" t="s">
        <v>13</v>
      </c>
      <c r="G59" s="4" t="s">
        <v>17</v>
      </c>
      <c r="H59" s="4" t="s">
        <v>106</v>
      </c>
      <c r="I59" s="4" t="s">
        <v>107</v>
      </c>
      <c r="J59" s="4" t="s">
        <v>107</v>
      </c>
      <c r="K59" s="4" t="s">
        <v>108</v>
      </c>
      <c r="L59" s="5">
        <v>64350000</v>
      </c>
      <c r="M59" s="5">
        <v>0</v>
      </c>
      <c r="N59" s="5">
        <v>70785000</v>
      </c>
    </row>
    <row r="60" spans="1:14" x14ac:dyDescent="0.35">
      <c r="A60" s="6">
        <v>59</v>
      </c>
      <c r="B60" s="4" t="s">
        <v>13</v>
      </c>
      <c r="C60" s="4" t="s">
        <v>205</v>
      </c>
      <c r="D60" s="4" t="s">
        <v>15</v>
      </c>
      <c r="E60" s="4" t="s">
        <v>16</v>
      </c>
      <c r="F60" s="4" t="s">
        <v>13</v>
      </c>
      <c r="G60" s="4" t="s">
        <v>17</v>
      </c>
      <c r="H60" s="4" t="s">
        <v>106</v>
      </c>
      <c r="I60" s="4" t="s">
        <v>107</v>
      </c>
      <c r="J60" s="4" t="s">
        <v>107</v>
      </c>
      <c r="K60" s="4" t="s">
        <v>108</v>
      </c>
      <c r="L60" s="5">
        <v>90566667</v>
      </c>
      <c r="M60" s="5">
        <v>0</v>
      </c>
      <c r="N60" s="5">
        <v>99623333</v>
      </c>
    </row>
    <row r="61" spans="1:14" x14ac:dyDescent="0.35">
      <c r="A61" s="6">
        <v>60</v>
      </c>
      <c r="B61" s="4" t="s">
        <v>13</v>
      </c>
      <c r="C61" s="4" t="s">
        <v>206</v>
      </c>
      <c r="D61" s="4" t="s">
        <v>15</v>
      </c>
      <c r="E61" s="4" t="s">
        <v>16</v>
      </c>
      <c r="F61" s="4" t="s">
        <v>13</v>
      </c>
      <c r="G61" s="4" t="s">
        <v>17</v>
      </c>
      <c r="H61" s="4" t="s">
        <v>106</v>
      </c>
      <c r="I61" s="4" t="s">
        <v>107</v>
      </c>
      <c r="J61" s="4" t="s">
        <v>107</v>
      </c>
      <c r="K61" s="4" t="s">
        <v>108</v>
      </c>
      <c r="L61" s="5">
        <v>181786667</v>
      </c>
      <c r="M61" s="5">
        <v>0</v>
      </c>
      <c r="N61" s="5">
        <v>199965333</v>
      </c>
    </row>
    <row r="62" spans="1:14" x14ac:dyDescent="0.35">
      <c r="L62" s="2">
        <f>SUM(L2:L61)</f>
        <v>3771835589</v>
      </c>
      <c r="N62" s="3">
        <f>SUM(N2:N61)</f>
        <v>4149019142.3000002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7"/>
  <sheetViews>
    <sheetView tabSelected="1" zoomScaleNormal="100" workbookViewId="0">
      <pane ySplit="1" topLeftCell="A2" activePane="bottomLeft" state="frozen"/>
      <selection activeCell="F1" sqref="F1"/>
      <selection pane="bottomLeft" activeCell="M123" sqref="M123"/>
    </sheetView>
  </sheetViews>
  <sheetFormatPr defaultRowHeight="14.5" x14ac:dyDescent="0.35"/>
  <cols>
    <col min="1" max="1" width="8.81640625" style="1" bestFit="1" customWidth="1"/>
    <col min="2" max="2" width="13.90625" style="1" bestFit="1" customWidth="1"/>
    <col min="3" max="3" width="12.08984375" style="1" bestFit="1" customWidth="1"/>
    <col min="4" max="4" width="6.453125" style="1" bestFit="1" customWidth="1"/>
    <col min="5" max="5" width="4.36328125" style="1" bestFit="1" customWidth="1"/>
    <col min="6" max="6" width="10.7265625" bestFit="1" customWidth="1"/>
    <col min="7" max="7" width="12.1796875" bestFit="1" customWidth="1"/>
    <col min="8" max="8" width="9.453125" bestFit="1" customWidth="1"/>
    <col min="9" max="9" width="9.7265625" bestFit="1" customWidth="1"/>
  </cols>
  <sheetData>
    <row r="1" spans="1:8" x14ac:dyDescent="0.35">
      <c r="A1" s="4" t="s">
        <v>1</v>
      </c>
      <c r="B1" s="4" t="s">
        <v>207</v>
      </c>
      <c r="C1" s="4" t="s">
        <v>208</v>
      </c>
      <c r="D1" s="4" t="s">
        <v>209</v>
      </c>
      <c r="E1" s="4" t="s">
        <v>210</v>
      </c>
      <c r="F1" s="4" t="s">
        <v>211</v>
      </c>
      <c r="G1" s="4" t="s">
        <v>212</v>
      </c>
      <c r="H1" s="4" t="s">
        <v>213</v>
      </c>
    </row>
    <row r="2" spans="1:8" x14ac:dyDescent="0.35">
      <c r="A2" s="4" t="s">
        <v>14</v>
      </c>
      <c r="B2" s="4" t="s">
        <v>214</v>
      </c>
      <c r="C2" s="4" t="s">
        <v>215</v>
      </c>
      <c r="D2" s="4" t="s">
        <v>216</v>
      </c>
      <c r="E2" s="4" t="s">
        <v>13</v>
      </c>
      <c r="F2" s="5">
        <v>16500000</v>
      </c>
      <c r="G2" s="5">
        <v>8250000</v>
      </c>
      <c r="H2" s="5">
        <v>10</v>
      </c>
    </row>
    <row r="3" spans="1:8" x14ac:dyDescent="0.35">
      <c r="A3" s="4" t="s">
        <v>14</v>
      </c>
      <c r="B3" s="4" t="s">
        <v>214</v>
      </c>
      <c r="C3" s="4" t="s">
        <v>215</v>
      </c>
      <c r="D3" s="4" t="s">
        <v>216</v>
      </c>
      <c r="E3" s="4" t="s">
        <v>13</v>
      </c>
      <c r="F3" s="5">
        <v>98266667</v>
      </c>
      <c r="G3" s="5">
        <v>43237334</v>
      </c>
      <c r="H3" s="5">
        <v>10</v>
      </c>
    </row>
    <row r="4" spans="1:8" x14ac:dyDescent="0.35">
      <c r="A4" s="4" t="s">
        <v>14</v>
      </c>
      <c r="B4" s="4" t="s">
        <v>214</v>
      </c>
      <c r="C4" s="4" t="s">
        <v>215</v>
      </c>
      <c r="D4" s="4" t="s">
        <v>216</v>
      </c>
      <c r="E4" s="4" t="s">
        <v>13</v>
      </c>
      <c r="F4" s="5">
        <v>79382940</v>
      </c>
      <c r="G4" s="5">
        <v>14217840</v>
      </c>
      <c r="H4" s="5">
        <v>10</v>
      </c>
    </row>
    <row r="5" spans="1:8" x14ac:dyDescent="0.35">
      <c r="A5" s="4" t="s">
        <v>21</v>
      </c>
      <c r="B5" s="4" t="s">
        <v>214</v>
      </c>
      <c r="C5" s="4" t="s">
        <v>215</v>
      </c>
      <c r="D5" s="4" t="s">
        <v>216</v>
      </c>
      <c r="E5" s="4" t="s">
        <v>13</v>
      </c>
      <c r="F5" s="5">
        <v>17000000</v>
      </c>
      <c r="G5" s="5">
        <v>0</v>
      </c>
      <c r="H5" s="5">
        <v>10</v>
      </c>
    </row>
    <row r="6" spans="1:8" x14ac:dyDescent="0.35">
      <c r="A6" s="4" t="s">
        <v>21</v>
      </c>
      <c r="B6" s="4" t="s">
        <v>214</v>
      </c>
      <c r="C6" s="4" t="s">
        <v>215</v>
      </c>
      <c r="D6" s="4" t="s">
        <v>216</v>
      </c>
      <c r="E6" s="4" t="s">
        <v>13</v>
      </c>
      <c r="F6" s="5">
        <v>33768000</v>
      </c>
      <c r="G6" s="5">
        <v>10108000</v>
      </c>
      <c r="H6" s="5">
        <v>10</v>
      </c>
    </row>
    <row r="7" spans="1:8" x14ac:dyDescent="0.35">
      <c r="A7" s="4" t="s">
        <v>21</v>
      </c>
      <c r="B7" s="4" t="s">
        <v>214</v>
      </c>
      <c r="C7" s="4" t="s">
        <v>215</v>
      </c>
      <c r="D7" s="4" t="s">
        <v>216</v>
      </c>
      <c r="E7" s="4" t="s">
        <v>13</v>
      </c>
      <c r="F7" s="5">
        <v>2250000</v>
      </c>
      <c r="G7" s="5">
        <v>1350000</v>
      </c>
      <c r="H7" s="5">
        <v>10</v>
      </c>
    </row>
    <row r="8" spans="1:8" x14ac:dyDescent="0.35">
      <c r="A8" s="4" t="s">
        <v>25</v>
      </c>
      <c r="B8" s="4" t="s">
        <v>214</v>
      </c>
      <c r="C8" s="4" t="s">
        <v>215</v>
      </c>
      <c r="D8" s="4" t="s">
        <v>216</v>
      </c>
      <c r="E8" s="4" t="s">
        <v>13</v>
      </c>
      <c r="F8" s="5">
        <v>12000000</v>
      </c>
      <c r="G8" s="5">
        <v>6000000</v>
      </c>
      <c r="H8" s="5">
        <v>10</v>
      </c>
    </row>
    <row r="9" spans="1:8" x14ac:dyDescent="0.35">
      <c r="A9" s="4" t="s">
        <v>25</v>
      </c>
      <c r="B9" s="4" t="s">
        <v>214</v>
      </c>
      <c r="C9" s="4" t="s">
        <v>215</v>
      </c>
      <c r="D9" s="4" t="s">
        <v>216</v>
      </c>
      <c r="E9" s="4" t="s">
        <v>13</v>
      </c>
      <c r="F9" s="5">
        <v>52500000</v>
      </c>
      <c r="G9" s="5">
        <v>26250000</v>
      </c>
      <c r="H9" s="5">
        <v>10</v>
      </c>
    </row>
    <row r="10" spans="1:8" x14ac:dyDescent="0.35">
      <c r="A10" s="4" t="s">
        <v>25</v>
      </c>
      <c r="B10" s="4" t="s">
        <v>214</v>
      </c>
      <c r="C10" s="4" t="s">
        <v>215</v>
      </c>
      <c r="D10" s="4" t="s">
        <v>216</v>
      </c>
      <c r="E10" s="4" t="s">
        <v>13</v>
      </c>
      <c r="F10" s="5">
        <v>127300000</v>
      </c>
      <c r="G10" s="5">
        <v>88180096</v>
      </c>
      <c r="H10" s="5">
        <v>10</v>
      </c>
    </row>
    <row r="11" spans="1:8" x14ac:dyDescent="0.35">
      <c r="A11" s="4" t="s">
        <v>25</v>
      </c>
      <c r="B11" s="4" t="s">
        <v>214</v>
      </c>
      <c r="C11" s="4" t="s">
        <v>215</v>
      </c>
      <c r="D11" s="4" t="s">
        <v>216</v>
      </c>
      <c r="E11" s="4" t="s">
        <v>13</v>
      </c>
      <c r="F11" s="5">
        <v>72695000</v>
      </c>
      <c r="G11" s="5">
        <v>13020000</v>
      </c>
      <c r="H11" s="5">
        <v>10</v>
      </c>
    </row>
    <row r="12" spans="1:8" x14ac:dyDescent="0.35">
      <c r="A12" s="4" t="s">
        <v>26</v>
      </c>
      <c r="B12" s="4" t="s">
        <v>214</v>
      </c>
      <c r="C12" s="4" t="s">
        <v>215</v>
      </c>
      <c r="D12" s="4" t="s">
        <v>216</v>
      </c>
      <c r="E12" s="4" t="s">
        <v>13</v>
      </c>
      <c r="F12" s="5">
        <v>45943240</v>
      </c>
      <c r="G12" s="5">
        <v>9143240</v>
      </c>
      <c r="H12" s="5">
        <v>10</v>
      </c>
    </row>
    <row r="13" spans="1:8" x14ac:dyDescent="0.35">
      <c r="A13" s="4" t="s">
        <v>26</v>
      </c>
      <c r="B13" s="4" t="s">
        <v>214</v>
      </c>
      <c r="C13" s="4" t="s">
        <v>215</v>
      </c>
      <c r="D13" s="4" t="s">
        <v>216</v>
      </c>
      <c r="E13" s="4" t="s">
        <v>13</v>
      </c>
      <c r="F13" s="5">
        <v>17000000</v>
      </c>
      <c r="G13" s="5">
        <v>0</v>
      </c>
      <c r="H13" s="5">
        <v>10</v>
      </c>
    </row>
    <row r="14" spans="1:8" x14ac:dyDescent="0.35">
      <c r="A14" s="4" t="s">
        <v>30</v>
      </c>
      <c r="B14" s="4" t="s">
        <v>214</v>
      </c>
      <c r="C14" s="4" t="s">
        <v>215</v>
      </c>
      <c r="D14" s="4" t="s">
        <v>216</v>
      </c>
      <c r="E14" s="4" t="s">
        <v>13</v>
      </c>
      <c r="F14" s="5">
        <v>154377746</v>
      </c>
      <c r="G14" s="5">
        <v>82502746</v>
      </c>
      <c r="H14" s="5">
        <v>10</v>
      </c>
    </row>
    <row r="15" spans="1:8" x14ac:dyDescent="0.35">
      <c r="A15" s="4" t="s">
        <v>30</v>
      </c>
      <c r="B15" s="4" t="s">
        <v>214</v>
      </c>
      <c r="C15" s="4" t="s">
        <v>215</v>
      </c>
      <c r="D15" s="4" t="s">
        <v>216</v>
      </c>
      <c r="E15" s="4" t="s">
        <v>13</v>
      </c>
      <c r="F15" s="5">
        <v>12000000</v>
      </c>
      <c r="G15" s="5">
        <v>12000000</v>
      </c>
      <c r="H15" s="5">
        <v>10</v>
      </c>
    </row>
    <row r="16" spans="1:8" x14ac:dyDescent="0.35">
      <c r="A16" s="4" t="s">
        <v>34</v>
      </c>
      <c r="B16" s="4" t="s">
        <v>214</v>
      </c>
      <c r="C16" s="4" t="s">
        <v>215</v>
      </c>
      <c r="D16" s="4" t="s">
        <v>216</v>
      </c>
      <c r="E16" s="4" t="s">
        <v>13</v>
      </c>
      <c r="F16" s="5">
        <v>17000000</v>
      </c>
      <c r="G16" s="5">
        <v>0</v>
      </c>
      <c r="H16" s="5">
        <v>10</v>
      </c>
    </row>
    <row r="17" spans="1:8" x14ac:dyDescent="0.35">
      <c r="A17" s="4" t="s">
        <v>34</v>
      </c>
      <c r="B17" s="4" t="s">
        <v>214</v>
      </c>
      <c r="C17" s="4" t="s">
        <v>215</v>
      </c>
      <c r="D17" s="4" t="s">
        <v>216</v>
      </c>
      <c r="E17" s="4" t="s">
        <v>13</v>
      </c>
      <c r="F17" s="5">
        <v>33750000</v>
      </c>
      <c r="G17" s="5">
        <v>0</v>
      </c>
      <c r="H17" s="5">
        <v>10</v>
      </c>
    </row>
    <row r="18" spans="1:8" x14ac:dyDescent="0.35">
      <c r="A18" s="4" t="s">
        <v>38</v>
      </c>
      <c r="B18" s="4" t="s">
        <v>214</v>
      </c>
      <c r="C18" s="4" t="s">
        <v>215</v>
      </c>
      <c r="D18" s="4" t="s">
        <v>216</v>
      </c>
      <c r="E18" s="4" t="s">
        <v>13</v>
      </c>
      <c r="F18" s="5">
        <v>53600000</v>
      </c>
      <c r="G18" s="5">
        <v>9600000</v>
      </c>
      <c r="H18" s="5">
        <v>10</v>
      </c>
    </row>
    <row r="19" spans="1:8" x14ac:dyDescent="0.35">
      <c r="A19" s="4" t="s">
        <v>38</v>
      </c>
      <c r="B19" s="4" t="s">
        <v>214</v>
      </c>
      <c r="C19" s="4" t="s">
        <v>215</v>
      </c>
      <c r="D19" s="4" t="s">
        <v>216</v>
      </c>
      <c r="E19" s="4" t="s">
        <v>13</v>
      </c>
      <c r="F19" s="5">
        <v>3000000</v>
      </c>
      <c r="G19" s="5">
        <v>3000000</v>
      </c>
      <c r="H19" s="5">
        <v>10</v>
      </c>
    </row>
    <row r="20" spans="1:8" x14ac:dyDescent="0.35">
      <c r="A20" s="4" t="s">
        <v>42</v>
      </c>
      <c r="B20" s="4" t="s">
        <v>214</v>
      </c>
      <c r="C20" s="4" t="s">
        <v>215</v>
      </c>
      <c r="D20" s="4" t="s">
        <v>216</v>
      </c>
      <c r="E20" s="4" t="s">
        <v>13</v>
      </c>
      <c r="F20" s="5">
        <v>110326667</v>
      </c>
      <c r="G20" s="5">
        <v>5276667</v>
      </c>
      <c r="H20" s="5">
        <v>10</v>
      </c>
    </row>
    <row r="21" spans="1:8" x14ac:dyDescent="0.35">
      <c r="A21" s="4" t="s">
        <v>46</v>
      </c>
      <c r="B21" s="4" t="s">
        <v>214</v>
      </c>
      <c r="C21" s="4" t="s">
        <v>215</v>
      </c>
      <c r="D21" s="4" t="s">
        <v>216</v>
      </c>
      <c r="E21" s="4" t="s">
        <v>13</v>
      </c>
      <c r="F21" s="5">
        <v>6000000</v>
      </c>
      <c r="G21" s="5">
        <v>2000000</v>
      </c>
      <c r="H21" s="5">
        <v>10</v>
      </c>
    </row>
    <row r="22" spans="1:8" x14ac:dyDescent="0.35">
      <c r="A22" s="4" t="s">
        <v>46</v>
      </c>
      <c r="B22" s="4" t="s">
        <v>214</v>
      </c>
      <c r="C22" s="4" t="s">
        <v>215</v>
      </c>
      <c r="D22" s="4" t="s">
        <v>216</v>
      </c>
      <c r="E22" s="4" t="s">
        <v>13</v>
      </c>
      <c r="F22" s="5">
        <v>62663090</v>
      </c>
      <c r="G22" s="5">
        <v>8885065</v>
      </c>
      <c r="H22" s="5">
        <v>10</v>
      </c>
    </row>
    <row r="23" spans="1:8" x14ac:dyDescent="0.35">
      <c r="A23" s="4" t="s">
        <v>46</v>
      </c>
      <c r="B23" s="4" t="s">
        <v>214</v>
      </c>
      <c r="C23" s="4" t="s">
        <v>215</v>
      </c>
      <c r="D23" s="4" t="s">
        <v>216</v>
      </c>
      <c r="E23" s="4" t="s">
        <v>13</v>
      </c>
      <c r="F23" s="5">
        <v>1500000</v>
      </c>
      <c r="G23" s="5">
        <v>500000</v>
      </c>
      <c r="H23" s="5">
        <v>10</v>
      </c>
    </row>
    <row r="24" spans="1:8" x14ac:dyDescent="0.35">
      <c r="A24" s="4" t="s">
        <v>50</v>
      </c>
      <c r="B24" s="4" t="s">
        <v>214</v>
      </c>
      <c r="C24" s="4" t="s">
        <v>215</v>
      </c>
      <c r="D24" s="4" t="s">
        <v>216</v>
      </c>
      <c r="E24" s="4" t="s">
        <v>13</v>
      </c>
      <c r="F24" s="5">
        <v>17000000</v>
      </c>
      <c r="G24" s="5">
        <v>0</v>
      </c>
      <c r="H24" s="5">
        <v>10</v>
      </c>
    </row>
    <row r="25" spans="1:8" x14ac:dyDescent="0.35">
      <c r="A25" s="4" t="s">
        <v>50</v>
      </c>
      <c r="B25" s="4" t="s">
        <v>214</v>
      </c>
      <c r="C25" s="4" t="s">
        <v>215</v>
      </c>
      <c r="D25" s="4" t="s">
        <v>216</v>
      </c>
      <c r="E25" s="4" t="s">
        <v>13</v>
      </c>
      <c r="F25" s="5">
        <v>37520000</v>
      </c>
      <c r="G25" s="5">
        <v>3920000</v>
      </c>
      <c r="H25" s="5">
        <v>10</v>
      </c>
    </row>
    <row r="26" spans="1:8" x14ac:dyDescent="0.35">
      <c r="A26" s="4" t="s">
        <v>50</v>
      </c>
      <c r="B26" s="4" t="s">
        <v>214</v>
      </c>
      <c r="C26" s="4" t="s">
        <v>215</v>
      </c>
      <c r="D26" s="4" t="s">
        <v>216</v>
      </c>
      <c r="E26" s="4" t="s">
        <v>13</v>
      </c>
      <c r="F26" s="5">
        <v>17000000</v>
      </c>
      <c r="G26" s="5">
        <v>0</v>
      </c>
      <c r="H26" s="5">
        <v>10</v>
      </c>
    </row>
    <row r="27" spans="1:8" x14ac:dyDescent="0.35">
      <c r="A27" s="4" t="s">
        <v>50</v>
      </c>
      <c r="B27" s="4" t="s">
        <v>214</v>
      </c>
      <c r="C27" s="4" t="s">
        <v>215</v>
      </c>
      <c r="D27" s="4" t="s">
        <v>216</v>
      </c>
      <c r="E27" s="4" t="s">
        <v>13</v>
      </c>
      <c r="F27" s="5">
        <v>53600000</v>
      </c>
      <c r="G27" s="5">
        <v>5600000</v>
      </c>
      <c r="H27" s="5">
        <v>10</v>
      </c>
    </row>
    <row r="28" spans="1:8" x14ac:dyDescent="0.35">
      <c r="A28" s="4" t="s">
        <v>54</v>
      </c>
      <c r="B28" s="4" t="s">
        <v>214</v>
      </c>
      <c r="C28" s="4" t="s">
        <v>215</v>
      </c>
      <c r="D28" s="4" t="s">
        <v>216</v>
      </c>
      <c r="E28" s="4" t="s">
        <v>13</v>
      </c>
      <c r="F28" s="5">
        <v>45943240</v>
      </c>
      <c r="G28" s="5">
        <v>19543240</v>
      </c>
      <c r="H28" s="5">
        <v>10</v>
      </c>
    </row>
    <row r="29" spans="1:8" x14ac:dyDescent="0.35">
      <c r="A29" s="4" t="s">
        <v>58</v>
      </c>
      <c r="B29" s="4" t="s">
        <v>214</v>
      </c>
      <c r="C29" s="4" t="s">
        <v>215</v>
      </c>
      <c r="D29" s="4" t="s">
        <v>216</v>
      </c>
      <c r="E29" s="4" t="s">
        <v>13</v>
      </c>
      <c r="F29" s="5">
        <v>17000000</v>
      </c>
      <c r="G29" s="5">
        <v>0</v>
      </c>
      <c r="H29" s="5">
        <v>10</v>
      </c>
    </row>
    <row r="30" spans="1:8" x14ac:dyDescent="0.35">
      <c r="A30" s="4" t="s">
        <v>59</v>
      </c>
      <c r="B30" s="4" t="s">
        <v>214</v>
      </c>
      <c r="C30" s="4" t="s">
        <v>215</v>
      </c>
      <c r="D30" s="4" t="s">
        <v>216</v>
      </c>
      <c r="E30" s="4" t="s">
        <v>13</v>
      </c>
      <c r="F30" s="5">
        <v>18000000</v>
      </c>
      <c r="G30" s="5">
        <v>0</v>
      </c>
      <c r="H30" s="5">
        <v>10</v>
      </c>
    </row>
    <row r="31" spans="1:8" x14ac:dyDescent="0.35">
      <c r="A31" s="4" t="s">
        <v>63</v>
      </c>
      <c r="B31" s="4" t="s">
        <v>214</v>
      </c>
      <c r="C31" s="4" t="s">
        <v>215</v>
      </c>
      <c r="D31" s="4" t="s">
        <v>216</v>
      </c>
      <c r="E31" s="4" t="s">
        <v>13</v>
      </c>
      <c r="F31" s="5">
        <v>12006400</v>
      </c>
      <c r="G31" s="5">
        <v>12006400</v>
      </c>
      <c r="H31" s="5">
        <v>10</v>
      </c>
    </row>
    <row r="32" spans="1:8" x14ac:dyDescent="0.35">
      <c r="A32" s="4" t="s">
        <v>63</v>
      </c>
      <c r="B32" s="4" t="s">
        <v>214</v>
      </c>
      <c r="C32" s="4" t="s">
        <v>215</v>
      </c>
      <c r="D32" s="4" t="s">
        <v>216</v>
      </c>
      <c r="E32" s="4" t="s">
        <v>13</v>
      </c>
      <c r="F32" s="5">
        <v>21011200</v>
      </c>
      <c r="G32" s="5">
        <v>8592640</v>
      </c>
      <c r="H32" s="5">
        <v>10</v>
      </c>
    </row>
    <row r="33" spans="1:9" x14ac:dyDescent="0.35">
      <c r="A33" s="4" t="s">
        <v>63</v>
      </c>
      <c r="B33" s="4" t="s">
        <v>214</v>
      </c>
      <c r="C33" s="4" t="s">
        <v>215</v>
      </c>
      <c r="D33" s="4" t="s">
        <v>216</v>
      </c>
      <c r="E33" s="4" t="s">
        <v>13</v>
      </c>
      <c r="F33" s="5">
        <v>2250000</v>
      </c>
      <c r="G33" s="5">
        <v>2250000</v>
      </c>
      <c r="H33" s="5">
        <v>10</v>
      </c>
    </row>
    <row r="34" spans="1:9" x14ac:dyDescent="0.35">
      <c r="A34" s="4" t="s">
        <v>63</v>
      </c>
      <c r="B34" s="4" t="s">
        <v>214</v>
      </c>
      <c r="C34" s="4" t="s">
        <v>215</v>
      </c>
      <c r="D34" s="4" t="s">
        <v>216</v>
      </c>
      <c r="E34" s="4" t="s">
        <v>13</v>
      </c>
      <c r="F34" s="5">
        <v>67893333</v>
      </c>
      <c r="G34" s="5">
        <v>31413333</v>
      </c>
      <c r="H34" s="5">
        <v>10</v>
      </c>
    </row>
    <row r="35" spans="1:9" x14ac:dyDescent="0.35">
      <c r="A35" s="4" t="s">
        <v>63</v>
      </c>
      <c r="B35" s="4" t="s">
        <v>214</v>
      </c>
      <c r="C35" s="4" t="s">
        <v>215</v>
      </c>
      <c r="D35" s="4" t="s">
        <v>216</v>
      </c>
      <c r="E35" s="4" t="s">
        <v>13</v>
      </c>
      <c r="F35" s="5">
        <v>64320000</v>
      </c>
      <c r="G35" s="5">
        <v>36586580</v>
      </c>
      <c r="H35" s="5">
        <v>10</v>
      </c>
    </row>
    <row r="36" spans="1:9" x14ac:dyDescent="0.35">
      <c r="A36" s="4" t="s">
        <v>63</v>
      </c>
      <c r="B36" s="4" t="s">
        <v>214</v>
      </c>
      <c r="C36" s="4" t="s">
        <v>215</v>
      </c>
      <c r="D36" s="4" t="s">
        <v>216</v>
      </c>
      <c r="E36" s="4" t="s">
        <v>13</v>
      </c>
      <c r="F36" s="5">
        <v>47525333</v>
      </c>
      <c r="G36" s="5">
        <v>21989333</v>
      </c>
      <c r="H36" s="5">
        <v>10</v>
      </c>
    </row>
    <row r="37" spans="1:9" s="7" customFormat="1" x14ac:dyDescent="0.35">
      <c r="A37" s="10" t="s">
        <v>218</v>
      </c>
      <c r="B37" s="10" t="s">
        <v>214</v>
      </c>
      <c r="C37" s="10" t="s">
        <v>215</v>
      </c>
      <c r="D37" s="10" t="s">
        <v>216</v>
      </c>
      <c r="E37" s="10" t="s">
        <v>13</v>
      </c>
      <c r="F37" s="11">
        <v>66927333</v>
      </c>
      <c r="G37" s="11">
        <v>33636000</v>
      </c>
      <c r="H37" s="11">
        <v>10</v>
      </c>
      <c r="I37" s="12"/>
    </row>
    <row r="38" spans="1:9" x14ac:dyDescent="0.35">
      <c r="A38" s="4" t="s">
        <v>64</v>
      </c>
      <c r="B38" s="4" t="s">
        <v>214</v>
      </c>
      <c r="C38" s="4" t="s">
        <v>215</v>
      </c>
      <c r="D38" s="4" t="s">
        <v>216</v>
      </c>
      <c r="E38" s="4" t="s">
        <v>13</v>
      </c>
      <c r="F38" s="5">
        <v>30016000</v>
      </c>
      <c r="G38" s="5">
        <v>30016000</v>
      </c>
      <c r="H38" s="5">
        <v>10</v>
      </c>
    </row>
    <row r="39" spans="1:9" x14ac:dyDescent="0.35">
      <c r="A39" s="4" t="s">
        <v>64</v>
      </c>
      <c r="B39" s="4" t="s">
        <v>214</v>
      </c>
      <c r="C39" s="4" t="s">
        <v>215</v>
      </c>
      <c r="D39" s="4" t="s">
        <v>216</v>
      </c>
      <c r="E39" s="4" t="s">
        <v>13</v>
      </c>
      <c r="F39" s="5">
        <v>30016000</v>
      </c>
      <c r="G39" s="5">
        <v>30016000</v>
      </c>
      <c r="H39" s="5">
        <v>10</v>
      </c>
    </row>
    <row r="40" spans="1:9" x14ac:dyDescent="0.35">
      <c r="A40" s="4" t="s">
        <v>64</v>
      </c>
      <c r="B40" s="4" t="s">
        <v>214</v>
      </c>
      <c r="C40" s="4" t="s">
        <v>215</v>
      </c>
      <c r="D40" s="4" t="s">
        <v>216</v>
      </c>
      <c r="E40" s="4" t="s">
        <v>13</v>
      </c>
      <c r="F40" s="5">
        <v>19928000</v>
      </c>
      <c r="G40" s="5">
        <v>19928000</v>
      </c>
      <c r="H40" s="5">
        <v>10</v>
      </c>
    </row>
    <row r="41" spans="1:9" x14ac:dyDescent="0.35">
      <c r="A41" s="4" t="s">
        <v>64</v>
      </c>
      <c r="B41" s="4" t="s">
        <v>214</v>
      </c>
      <c r="C41" s="4" t="s">
        <v>215</v>
      </c>
      <c r="D41" s="4" t="s">
        <v>216</v>
      </c>
      <c r="E41" s="4" t="s">
        <v>13</v>
      </c>
      <c r="F41" s="5">
        <v>13500000</v>
      </c>
      <c r="G41" s="5">
        <v>13500000</v>
      </c>
      <c r="H41" s="5">
        <v>10</v>
      </c>
    </row>
    <row r="42" spans="1:9" x14ac:dyDescent="0.35">
      <c r="A42" s="4" t="s">
        <v>68</v>
      </c>
      <c r="B42" s="4" t="s">
        <v>214</v>
      </c>
      <c r="C42" s="4" t="s">
        <v>215</v>
      </c>
      <c r="D42" s="4" t="s">
        <v>216</v>
      </c>
      <c r="E42" s="4" t="s">
        <v>13</v>
      </c>
      <c r="F42" s="5">
        <v>84000000</v>
      </c>
      <c r="G42" s="5">
        <v>0</v>
      </c>
      <c r="H42" s="5">
        <v>10</v>
      </c>
    </row>
    <row r="43" spans="1:9" x14ac:dyDescent="0.35">
      <c r="A43" s="4" t="s">
        <v>72</v>
      </c>
      <c r="B43" s="4" t="s">
        <v>214</v>
      </c>
      <c r="C43" s="4" t="s">
        <v>215</v>
      </c>
      <c r="D43" s="4" t="s">
        <v>216</v>
      </c>
      <c r="E43" s="4" t="s">
        <v>13</v>
      </c>
      <c r="F43" s="5">
        <v>4500000</v>
      </c>
      <c r="G43" s="5">
        <v>1125000</v>
      </c>
      <c r="H43" s="5">
        <v>10</v>
      </c>
    </row>
    <row r="44" spans="1:9" x14ac:dyDescent="0.35">
      <c r="A44" s="4" t="s">
        <v>72</v>
      </c>
      <c r="B44" s="4" t="s">
        <v>214</v>
      </c>
      <c r="C44" s="4" t="s">
        <v>215</v>
      </c>
      <c r="D44" s="4" t="s">
        <v>216</v>
      </c>
      <c r="E44" s="4" t="s">
        <v>13</v>
      </c>
      <c r="F44" s="5">
        <v>45943240</v>
      </c>
      <c r="G44" s="5">
        <v>16043240</v>
      </c>
      <c r="H44" s="5">
        <v>10</v>
      </c>
    </row>
    <row r="45" spans="1:9" x14ac:dyDescent="0.35">
      <c r="A45" s="4" t="s">
        <v>76</v>
      </c>
      <c r="B45" s="4" t="s">
        <v>214</v>
      </c>
      <c r="C45" s="4" t="s">
        <v>215</v>
      </c>
      <c r="D45" s="4" t="s">
        <v>216</v>
      </c>
      <c r="E45" s="4" t="s">
        <v>13</v>
      </c>
      <c r="F45" s="5">
        <v>18755310</v>
      </c>
      <c r="G45" s="5">
        <v>4758810</v>
      </c>
      <c r="H45" s="5">
        <v>10</v>
      </c>
    </row>
    <row r="46" spans="1:9" x14ac:dyDescent="0.35">
      <c r="A46" s="4" t="s">
        <v>80</v>
      </c>
      <c r="B46" s="4" t="s">
        <v>214</v>
      </c>
      <c r="C46" s="4" t="s">
        <v>215</v>
      </c>
      <c r="D46" s="4" t="s">
        <v>216</v>
      </c>
      <c r="E46" s="4" t="s">
        <v>13</v>
      </c>
      <c r="F46" s="5">
        <v>154377746</v>
      </c>
      <c r="G46" s="5">
        <v>39170473</v>
      </c>
      <c r="H46" s="5">
        <v>10</v>
      </c>
    </row>
    <row r="47" spans="1:9" x14ac:dyDescent="0.35">
      <c r="A47" s="4" t="s">
        <v>80</v>
      </c>
      <c r="B47" s="4" t="s">
        <v>214</v>
      </c>
      <c r="C47" s="4" t="s">
        <v>215</v>
      </c>
      <c r="D47" s="4" t="s">
        <v>216</v>
      </c>
      <c r="E47" s="4" t="s">
        <v>13</v>
      </c>
      <c r="F47" s="5">
        <v>22500000</v>
      </c>
      <c r="G47" s="5">
        <v>11250000</v>
      </c>
      <c r="H47" s="5">
        <v>10</v>
      </c>
    </row>
    <row r="48" spans="1:9" x14ac:dyDescent="0.35">
      <c r="A48" s="4" t="s">
        <v>84</v>
      </c>
      <c r="B48" s="4" t="s">
        <v>214</v>
      </c>
      <c r="C48" s="4" t="s">
        <v>215</v>
      </c>
      <c r="D48" s="4" t="s">
        <v>216</v>
      </c>
      <c r="E48" s="4" t="s">
        <v>13</v>
      </c>
      <c r="F48" s="5">
        <v>4500000</v>
      </c>
      <c r="G48" s="5">
        <v>1500000</v>
      </c>
      <c r="H48" s="5">
        <v>10</v>
      </c>
    </row>
    <row r="49" spans="1:8" x14ac:dyDescent="0.35">
      <c r="A49" s="4" t="s">
        <v>84</v>
      </c>
      <c r="B49" s="4" t="s">
        <v>214</v>
      </c>
      <c r="C49" s="4" t="s">
        <v>215</v>
      </c>
      <c r="D49" s="4" t="s">
        <v>216</v>
      </c>
      <c r="E49" s="4" t="s">
        <v>13</v>
      </c>
      <c r="F49" s="5">
        <v>66007060</v>
      </c>
      <c r="G49" s="5">
        <v>13207060</v>
      </c>
      <c r="H49" s="5">
        <v>10</v>
      </c>
    </row>
    <row r="50" spans="1:8" x14ac:dyDescent="0.35">
      <c r="A50" s="4" t="s">
        <v>84</v>
      </c>
      <c r="B50" s="4" t="s">
        <v>214</v>
      </c>
      <c r="C50" s="4" t="s">
        <v>215</v>
      </c>
      <c r="D50" s="4" t="s">
        <v>216</v>
      </c>
      <c r="E50" s="4" t="s">
        <v>13</v>
      </c>
      <c r="F50" s="5">
        <v>6000000</v>
      </c>
      <c r="G50" s="5">
        <v>2000000</v>
      </c>
      <c r="H50" s="5">
        <v>10</v>
      </c>
    </row>
    <row r="51" spans="1:8" x14ac:dyDescent="0.35">
      <c r="A51" s="4" t="s">
        <v>84</v>
      </c>
      <c r="B51" s="4" t="s">
        <v>214</v>
      </c>
      <c r="C51" s="4" t="s">
        <v>215</v>
      </c>
      <c r="D51" s="4" t="s">
        <v>216</v>
      </c>
      <c r="E51" s="4" t="s">
        <v>13</v>
      </c>
      <c r="F51" s="5">
        <v>78613333</v>
      </c>
      <c r="G51" s="5">
        <v>14080000</v>
      </c>
      <c r="H51" s="5">
        <v>10</v>
      </c>
    </row>
    <row r="52" spans="1:8" x14ac:dyDescent="0.35">
      <c r="A52" s="4" t="s">
        <v>85</v>
      </c>
      <c r="B52" s="4" t="s">
        <v>214</v>
      </c>
      <c r="C52" s="4" t="s">
        <v>215</v>
      </c>
      <c r="D52" s="4" t="s">
        <v>216</v>
      </c>
      <c r="E52" s="4" t="s">
        <v>13</v>
      </c>
      <c r="F52" s="5">
        <v>90910290</v>
      </c>
      <c r="G52" s="5">
        <v>4660290</v>
      </c>
      <c r="H52" s="5">
        <v>10</v>
      </c>
    </row>
    <row r="53" spans="1:8" x14ac:dyDescent="0.35">
      <c r="A53" s="4" t="s">
        <v>85</v>
      </c>
      <c r="B53" s="4" t="s">
        <v>214</v>
      </c>
      <c r="C53" s="4" t="s">
        <v>215</v>
      </c>
      <c r="D53" s="4" t="s">
        <v>216</v>
      </c>
      <c r="E53" s="4" t="s">
        <v>13</v>
      </c>
      <c r="F53" s="5">
        <v>17000000</v>
      </c>
      <c r="G53" s="5">
        <v>17000000</v>
      </c>
      <c r="H53" s="5">
        <v>10</v>
      </c>
    </row>
    <row r="54" spans="1:8" x14ac:dyDescent="0.35">
      <c r="A54" s="4" t="s">
        <v>85</v>
      </c>
      <c r="B54" s="4" t="s">
        <v>214</v>
      </c>
      <c r="C54" s="4" t="s">
        <v>215</v>
      </c>
      <c r="D54" s="4" t="s">
        <v>216</v>
      </c>
      <c r="E54" s="4" t="s">
        <v>13</v>
      </c>
      <c r="F54" s="5">
        <v>4500000</v>
      </c>
      <c r="G54" s="5">
        <v>1125000</v>
      </c>
      <c r="H54" s="5">
        <v>10</v>
      </c>
    </row>
    <row r="55" spans="1:8" x14ac:dyDescent="0.35">
      <c r="A55" s="4" t="s">
        <v>89</v>
      </c>
      <c r="B55" s="4" t="s">
        <v>214</v>
      </c>
      <c r="C55" s="4" t="s">
        <v>215</v>
      </c>
      <c r="D55" s="4" t="s">
        <v>216</v>
      </c>
      <c r="E55" s="4" t="s">
        <v>13</v>
      </c>
      <c r="F55" s="5">
        <v>45943240</v>
      </c>
      <c r="G55" s="5">
        <v>12943240</v>
      </c>
      <c r="H55" s="5">
        <v>10</v>
      </c>
    </row>
    <row r="56" spans="1:8" x14ac:dyDescent="0.35">
      <c r="A56" s="4" t="s">
        <v>89</v>
      </c>
      <c r="B56" s="4" t="s">
        <v>214</v>
      </c>
      <c r="C56" s="4" t="s">
        <v>215</v>
      </c>
      <c r="D56" s="4" t="s">
        <v>216</v>
      </c>
      <c r="E56" s="4" t="s">
        <v>13</v>
      </c>
      <c r="F56" s="5">
        <v>4500000</v>
      </c>
      <c r="G56" s="5">
        <v>2250000</v>
      </c>
      <c r="H56" s="5">
        <v>10</v>
      </c>
    </row>
    <row r="57" spans="1:8" x14ac:dyDescent="0.35">
      <c r="A57" s="4" t="s">
        <v>93</v>
      </c>
      <c r="B57" s="4" t="s">
        <v>214</v>
      </c>
      <c r="C57" s="4" t="s">
        <v>215</v>
      </c>
      <c r="D57" s="4" t="s">
        <v>216</v>
      </c>
      <c r="E57" s="4" t="s">
        <v>13</v>
      </c>
      <c r="F57" s="5">
        <v>154377746</v>
      </c>
      <c r="G57" s="5">
        <v>21877746</v>
      </c>
      <c r="H57" s="5">
        <v>10</v>
      </c>
    </row>
    <row r="58" spans="1:8" x14ac:dyDescent="0.35">
      <c r="A58" s="4" t="s">
        <v>93</v>
      </c>
      <c r="B58" s="4" t="s">
        <v>214</v>
      </c>
      <c r="C58" s="4" t="s">
        <v>215</v>
      </c>
      <c r="D58" s="4" t="s">
        <v>216</v>
      </c>
      <c r="E58" s="4" t="s">
        <v>13</v>
      </c>
      <c r="F58" s="5">
        <v>17000000</v>
      </c>
      <c r="G58" s="5">
        <v>0</v>
      </c>
      <c r="H58" s="5">
        <v>10</v>
      </c>
    </row>
    <row r="59" spans="1:8" x14ac:dyDescent="0.35">
      <c r="A59" s="4" t="s">
        <v>93</v>
      </c>
      <c r="B59" s="4" t="s">
        <v>214</v>
      </c>
      <c r="C59" s="4" t="s">
        <v>215</v>
      </c>
      <c r="D59" s="4" t="s">
        <v>216</v>
      </c>
      <c r="E59" s="4" t="s">
        <v>13</v>
      </c>
      <c r="F59" s="5">
        <v>4500000</v>
      </c>
      <c r="G59" s="5">
        <v>1125000</v>
      </c>
      <c r="H59" s="5">
        <v>10</v>
      </c>
    </row>
    <row r="60" spans="1:8" x14ac:dyDescent="0.35">
      <c r="A60" s="4" t="s">
        <v>97</v>
      </c>
      <c r="B60" s="4" t="s">
        <v>214</v>
      </c>
      <c r="C60" s="4" t="s">
        <v>215</v>
      </c>
      <c r="D60" s="4" t="s">
        <v>216</v>
      </c>
      <c r="E60" s="4" t="s">
        <v>13</v>
      </c>
      <c r="F60" s="5">
        <v>79382940</v>
      </c>
      <c r="G60" s="5">
        <v>20141940</v>
      </c>
      <c r="H60" s="5">
        <v>10</v>
      </c>
    </row>
    <row r="61" spans="1:8" x14ac:dyDescent="0.35">
      <c r="A61" s="4" t="s">
        <v>97</v>
      </c>
      <c r="B61" s="4" t="s">
        <v>214</v>
      </c>
      <c r="C61" s="4" t="s">
        <v>215</v>
      </c>
      <c r="D61" s="4" t="s">
        <v>216</v>
      </c>
      <c r="E61" s="4" t="s">
        <v>13</v>
      </c>
      <c r="F61" s="5">
        <v>4500000</v>
      </c>
      <c r="G61" s="5">
        <v>0</v>
      </c>
      <c r="H61" s="5">
        <v>10</v>
      </c>
    </row>
    <row r="62" spans="1:8" x14ac:dyDescent="0.35">
      <c r="A62" s="4" t="s">
        <v>101</v>
      </c>
      <c r="B62" s="4" t="s">
        <v>214</v>
      </c>
      <c r="C62" s="4" t="s">
        <v>215</v>
      </c>
      <c r="D62" s="4" t="s">
        <v>216</v>
      </c>
      <c r="E62" s="4" t="s">
        <v>13</v>
      </c>
      <c r="F62" s="5">
        <v>66007060</v>
      </c>
      <c r="G62" s="5">
        <v>7927060</v>
      </c>
      <c r="H62" s="5">
        <v>10</v>
      </c>
    </row>
    <row r="63" spans="1:8" x14ac:dyDescent="0.35">
      <c r="A63" s="4" t="s">
        <v>101</v>
      </c>
      <c r="B63" s="4" t="s">
        <v>214</v>
      </c>
      <c r="C63" s="4" t="s">
        <v>215</v>
      </c>
      <c r="D63" s="4" t="s">
        <v>216</v>
      </c>
      <c r="E63" s="4" t="s">
        <v>13</v>
      </c>
      <c r="F63" s="5">
        <v>45943240</v>
      </c>
      <c r="G63" s="5">
        <v>9643240</v>
      </c>
      <c r="H63" s="5">
        <v>10</v>
      </c>
    </row>
    <row r="64" spans="1:8" x14ac:dyDescent="0.35">
      <c r="A64" s="4" t="s">
        <v>101</v>
      </c>
      <c r="B64" s="4" t="s">
        <v>214</v>
      </c>
      <c r="C64" s="4" t="s">
        <v>215</v>
      </c>
      <c r="D64" s="4" t="s">
        <v>216</v>
      </c>
      <c r="E64" s="4" t="s">
        <v>13</v>
      </c>
      <c r="F64" s="5">
        <v>45943240</v>
      </c>
      <c r="G64" s="5">
        <v>9643240</v>
      </c>
      <c r="H64" s="5">
        <v>10</v>
      </c>
    </row>
    <row r="65" spans="1:8" x14ac:dyDescent="0.35">
      <c r="A65" s="4" t="s">
        <v>101</v>
      </c>
      <c r="B65" s="4" t="s">
        <v>214</v>
      </c>
      <c r="C65" s="4" t="s">
        <v>215</v>
      </c>
      <c r="D65" s="4" t="s">
        <v>216</v>
      </c>
      <c r="E65" s="4" t="s">
        <v>13</v>
      </c>
      <c r="F65" s="5">
        <v>45943240</v>
      </c>
      <c r="G65" s="5">
        <v>9643240</v>
      </c>
      <c r="H65" s="5">
        <v>10</v>
      </c>
    </row>
    <row r="66" spans="1:8" x14ac:dyDescent="0.35">
      <c r="A66" s="4" t="s">
        <v>101</v>
      </c>
      <c r="B66" s="4" t="s">
        <v>214</v>
      </c>
      <c r="C66" s="4" t="s">
        <v>215</v>
      </c>
      <c r="D66" s="4" t="s">
        <v>216</v>
      </c>
      <c r="E66" s="4" t="s">
        <v>13</v>
      </c>
      <c r="F66" s="5">
        <v>45943240</v>
      </c>
      <c r="G66" s="5">
        <v>9643240</v>
      </c>
      <c r="H66" s="5">
        <v>10</v>
      </c>
    </row>
    <row r="67" spans="1:8" x14ac:dyDescent="0.35">
      <c r="A67" s="4" t="s">
        <v>101</v>
      </c>
      <c r="B67" s="4" t="s">
        <v>214</v>
      </c>
      <c r="C67" s="4" t="s">
        <v>215</v>
      </c>
      <c r="D67" s="4" t="s">
        <v>216</v>
      </c>
      <c r="E67" s="4" t="s">
        <v>13</v>
      </c>
      <c r="F67" s="5">
        <v>4500000</v>
      </c>
      <c r="G67" s="5">
        <v>4500000</v>
      </c>
      <c r="H67" s="5">
        <v>10</v>
      </c>
    </row>
    <row r="68" spans="1:8" x14ac:dyDescent="0.35">
      <c r="A68" s="4" t="s">
        <v>105</v>
      </c>
      <c r="B68" s="4" t="s">
        <v>214</v>
      </c>
      <c r="C68" s="4" t="s">
        <v>215</v>
      </c>
      <c r="D68" s="4" t="s">
        <v>216</v>
      </c>
      <c r="E68" s="4" t="s">
        <v>13</v>
      </c>
      <c r="F68" s="5">
        <v>17000000</v>
      </c>
      <c r="G68" s="5">
        <v>0</v>
      </c>
      <c r="H68" s="5">
        <v>10</v>
      </c>
    </row>
    <row r="69" spans="1:8" x14ac:dyDescent="0.35">
      <c r="A69" s="4" t="s">
        <v>105</v>
      </c>
      <c r="B69" s="4" t="s">
        <v>214</v>
      </c>
      <c r="C69" s="4" t="s">
        <v>215</v>
      </c>
      <c r="D69" s="4" t="s">
        <v>216</v>
      </c>
      <c r="E69" s="4" t="s">
        <v>13</v>
      </c>
      <c r="F69" s="5">
        <v>17000000</v>
      </c>
      <c r="G69" s="5">
        <v>0</v>
      </c>
      <c r="H69" s="5">
        <v>10</v>
      </c>
    </row>
    <row r="70" spans="1:8" x14ac:dyDescent="0.35">
      <c r="A70" s="4" t="s">
        <v>105</v>
      </c>
      <c r="B70" s="4" t="s">
        <v>214</v>
      </c>
      <c r="C70" s="4" t="s">
        <v>215</v>
      </c>
      <c r="D70" s="4" t="s">
        <v>216</v>
      </c>
      <c r="E70" s="4" t="s">
        <v>13</v>
      </c>
      <c r="F70" s="5">
        <v>30016000</v>
      </c>
      <c r="G70" s="5">
        <v>5376000</v>
      </c>
      <c r="H70" s="5">
        <v>10</v>
      </c>
    </row>
    <row r="71" spans="1:8" x14ac:dyDescent="0.35">
      <c r="A71" s="4" t="s">
        <v>105</v>
      </c>
      <c r="B71" s="4" t="s">
        <v>214</v>
      </c>
      <c r="C71" s="4" t="s">
        <v>215</v>
      </c>
      <c r="D71" s="4" t="s">
        <v>216</v>
      </c>
      <c r="E71" s="4" t="s">
        <v>13</v>
      </c>
      <c r="F71" s="5">
        <v>21011200</v>
      </c>
      <c r="G71" s="5">
        <v>3763200</v>
      </c>
      <c r="H71" s="5">
        <v>10</v>
      </c>
    </row>
    <row r="72" spans="1:8" x14ac:dyDescent="0.35">
      <c r="A72" s="4" t="s">
        <v>109</v>
      </c>
      <c r="B72" s="4" t="s">
        <v>214</v>
      </c>
      <c r="C72" s="4" t="s">
        <v>215</v>
      </c>
      <c r="D72" s="4" t="s">
        <v>216</v>
      </c>
      <c r="E72" s="4" t="s">
        <v>13</v>
      </c>
      <c r="F72" s="5">
        <v>48240000</v>
      </c>
      <c r="G72" s="5">
        <v>12600000</v>
      </c>
      <c r="H72" s="5">
        <v>10</v>
      </c>
    </row>
    <row r="73" spans="1:8" x14ac:dyDescent="0.35">
      <c r="A73" s="4" t="s">
        <v>113</v>
      </c>
      <c r="B73" s="4" t="s">
        <v>214</v>
      </c>
      <c r="C73" s="4" t="s">
        <v>215</v>
      </c>
      <c r="D73" s="4" t="s">
        <v>216</v>
      </c>
      <c r="E73" s="4" t="s">
        <v>13</v>
      </c>
      <c r="F73" s="5">
        <v>38925000</v>
      </c>
      <c r="G73" s="5">
        <v>0</v>
      </c>
      <c r="H73" s="5">
        <v>10</v>
      </c>
    </row>
    <row r="74" spans="1:8" x14ac:dyDescent="0.35">
      <c r="A74" s="4" t="s">
        <v>117</v>
      </c>
      <c r="B74" s="4" t="s">
        <v>214</v>
      </c>
      <c r="C74" s="4" t="s">
        <v>215</v>
      </c>
      <c r="D74" s="4" t="s">
        <v>216</v>
      </c>
      <c r="E74" s="4" t="s">
        <v>13</v>
      </c>
      <c r="F74" s="5">
        <v>45943240</v>
      </c>
      <c r="G74" s="5">
        <v>5443240</v>
      </c>
      <c r="H74" s="5">
        <v>10</v>
      </c>
    </row>
    <row r="75" spans="1:8" x14ac:dyDescent="0.35">
      <c r="A75" s="4" t="s">
        <v>121</v>
      </c>
      <c r="B75" s="4" t="s">
        <v>214</v>
      </c>
      <c r="C75" s="4" t="s">
        <v>215</v>
      </c>
      <c r="D75" s="4" t="s">
        <v>216</v>
      </c>
      <c r="E75" s="4" t="s">
        <v>13</v>
      </c>
      <c r="F75" s="5">
        <v>30016000</v>
      </c>
      <c r="G75" s="5">
        <v>18496000</v>
      </c>
      <c r="H75" s="5">
        <v>10</v>
      </c>
    </row>
    <row r="76" spans="1:8" x14ac:dyDescent="0.35">
      <c r="A76" s="4" t="s">
        <v>121</v>
      </c>
      <c r="B76" s="4" t="s">
        <v>214</v>
      </c>
      <c r="C76" s="4" t="s">
        <v>215</v>
      </c>
      <c r="D76" s="4" t="s">
        <v>216</v>
      </c>
      <c r="E76" s="4" t="s">
        <v>13</v>
      </c>
      <c r="F76" s="5">
        <v>5250000</v>
      </c>
      <c r="G76" s="5">
        <v>3150000</v>
      </c>
      <c r="H76" s="5">
        <v>10</v>
      </c>
    </row>
    <row r="77" spans="1:8" x14ac:dyDescent="0.35">
      <c r="A77" s="4" t="s">
        <v>125</v>
      </c>
      <c r="B77" s="4" t="s">
        <v>214</v>
      </c>
      <c r="C77" s="4" t="s">
        <v>215</v>
      </c>
      <c r="D77" s="4" t="s">
        <v>216</v>
      </c>
      <c r="E77" s="4" t="s">
        <v>13</v>
      </c>
      <c r="F77" s="5">
        <v>17000000</v>
      </c>
      <c r="G77" s="5">
        <v>0</v>
      </c>
      <c r="H77" s="5">
        <v>10</v>
      </c>
    </row>
    <row r="78" spans="1:8" x14ac:dyDescent="0.35">
      <c r="A78" s="4" t="s">
        <v>125</v>
      </c>
      <c r="B78" s="4" t="s">
        <v>214</v>
      </c>
      <c r="C78" s="4" t="s">
        <v>215</v>
      </c>
      <c r="D78" s="4" t="s">
        <v>216</v>
      </c>
      <c r="E78" s="4" t="s">
        <v>13</v>
      </c>
      <c r="F78" s="5">
        <v>45943240</v>
      </c>
      <c r="G78" s="5">
        <v>9143240</v>
      </c>
      <c r="H78" s="5">
        <v>10</v>
      </c>
    </row>
    <row r="79" spans="1:8" x14ac:dyDescent="0.35">
      <c r="A79" s="4" t="s">
        <v>126</v>
      </c>
      <c r="B79" s="4" t="s">
        <v>214</v>
      </c>
      <c r="C79" s="4" t="s">
        <v>215</v>
      </c>
      <c r="D79" s="4" t="s">
        <v>216</v>
      </c>
      <c r="E79" s="4" t="s">
        <v>13</v>
      </c>
      <c r="F79" s="5">
        <v>2250000</v>
      </c>
      <c r="G79" s="5">
        <v>1350000</v>
      </c>
      <c r="H79" s="5">
        <v>10</v>
      </c>
    </row>
    <row r="80" spans="1:8" x14ac:dyDescent="0.35">
      <c r="A80" s="4" t="s">
        <v>126</v>
      </c>
      <c r="B80" s="4" t="s">
        <v>214</v>
      </c>
      <c r="C80" s="4" t="s">
        <v>215</v>
      </c>
      <c r="D80" s="4" t="s">
        <v>216</v>
      </c>
      <c r="E80" s="4" t="s">
        <v>13</v>
      </c>
      <c r="F80" s="5">
        <v>53778667</v>
      </c>
      <c r="G80" s="5">
        <v>3920731</v>
      </c>
      <c r="H80" s="5">
        <v>10</v>
      </c>
    </row>
    <row r="81" spans="1:8" x14ac:dyDescent="0.35">
      <c r="A81" s="4" t="s">
        <v>126</v>
      </c>
      <c r="B81" s="4" t="s">
        <v>214</v>
      </c>
      <c r="C81" s="4" t="s">
        <v>215</v>
      </c>
      <c r="D81" s="4" t="s">
        <v>216</v>
      </c>
      <c r="E81" s="4" t="s">
        <v>13</v>
      </c>
      <c r="F81" s="5">
        <v>100232000</v>
      </c>
      <c r="G81" s="5">
        <v>17952000</v>
      </c>
      <c r="H81" s="5">
        <v>10</v>
      </c>
    </row>
    <row r="82" spans="1:8" x14ac:dyDescent="0.35">
      <c r="A82" s="4" t="s">
        <v>129</v>
      </c>
      <c r="B82" s="4" t="s">
        <v>214</v>
      </c>
      <c r="C82" s="4" t="s">
        <v>215</v>
      </c>
      <c r="D82" s="4" t="s">
        <v>216</v>
      </c>
      <c r="E82" s="4" t="s">
        <v>13</v>
      </c>
      <c r="F82" s="5">
        <v>17152000</v>
      </c>
      <c r="G82" s="5">
        <v>3072000</v>
      </c>
      <c r="H82" s="5">
        <v>10</v>
      </c>
    </row>
    <row r="83" spans="1:8" x14ac:dyDescent="0.35">
      <c r="A83" s="4" t="s">
        <v>129</v>
      </c>
      <c r="B83" s="4" t="s">
        <v>214</v>
      </c>
      <c r="C83" s="4" t="s">
        <v>215</v>
      </c>
      <c r="D83" s="4" t="s">
        <v>216</v>
      </c>
      <c r="E83" s="4" t="s">
        <v>13</v>
      </c>
      <c r="F83" s="5">
        <v>2250000</v>
      </c>
      <c r="G83" s="5">
        <v>1350000</v>
      </c>
      <c r="H83" s="5">
        <v>10</v>
      </c>
    </row>
    <row r="84" spans="1:8" x14ac:dyDescent="0.35">
      <c r="A84" s="4" t="s">
        <v>133</v>
      </c>
      <c r="B84" s="4" t="s">
        <v>214</v>
      </c>
      <c r="C84" s="4" t="s">
        <v>215</v>
      </c>
      <c r="D84" s="4" t="s">
        <v>216</v>
      </c>
      <c r="E84" s="4" t="s">
        <v>13</v>
      </c>
      <c r="F84" s="5">
        <v>17000000</v>
      </c>
      <c r="G84" s="5">
        <v>0</v>
      </c>
      <c r="H84" s="5">
        <v>10</v>
      </c>
    </row>
    <row r="85" spans="1:8" x14ac:dyDescent="0.35">
      <c r="A85" s="4" t="s">
        <v>133</v>
      </c>
      <c r="B85" s="4" t="s">
        <v>214</v>
      </c>
      <c r="C85" s="4" t="s">
        <v>215</v>
      </c>
      <c r="D85" s="4" t="s">
        <v>216</v>
      </c>
      <c r="E85" s="4" t="s">
        <v>13</v>
      </c>
      <c r="F85" s="5">
        <v>102437640</v>
      </c>
      <c r="G85" s="5">
        <v>24437640</v>
      </c>
      <c r="H85" s="5">
        <v>10</v>
      </c>
    </row>
    <row r="86" spans="1:8" x14ac:dyDescent="0.35">
      <c r="A86" s="4" t="s">
        <v>137</v>
      </c>
      <c r="B86" s="4" t="s">
        <v>214</v>
      </c>
      <c r="C86" s="4" t="s">
        <v>215</v>
      </c>
      <c r="D86" s="4" t="s">
        <v>216</v>
      </c>
      <c r="E86" s="4" t="s">
        <v>13</v>
      </c>
      <c r="F86" s="5">
        <v>4500000</v>
      </c>
      <c r="G86" s="5">
        <v>3600000</v>
      </c>
      <c r="H86" s="5">
        <v>10</v>
      </c>
    </row>
    <row r="87" spans="1:8" x14ac:dyDescent="0.35">
      <c r="A87" s="4" t="s">
        <v>137</v>
      </c>
      <c r="B87" s="4" t="s">
        <v>214</v>
      </c>
      <c r="C87" s="4" t="s">
        <v>215</v>
      </c>
      <c r="D87" s="4" t="s">
        <v>216</v>
      </c>
      <c r="E87" s="4" t="s">
        <v>13</v>
      </c>
      <c r="F87" s="5">
        <v>114329410</v>
      </c>
      <c r="G87" s="5">
        <v>29008955</v>
      </c>
      <c r="H87" s="5">
        <v>10</v>
      </c>
    </row>
    <row r="88" spans="1:8" x14ac:dyDescent="0.35">
      <c r="A88" s="4" t="s">
        <v>141</v>
      </c>
      <c r="B88" s="4" t="s">
        <v>214</v>
      </c>
      <c r="C88" s="4" t="s">
        <v>215</v>
      </c>
      <c r="D88" s="4" t="s">
        <v>216</v>
      </c>
      <c r="E88" s="4" t="s">
        <v>13</v>
      </c>
      <c r="F88" s="5">
        <v>4675000</v>
      </c>
      <c r="G88" s="5">
        <v>0</v>
      </c>
      <c r="H88" s="5">
        <v>10</v>
      </c>
    </row>
    <row r="89" spans="1:8" x14ac:dyDescent="0.35">
      <c r="A89" s="4" t="s">
        <v>141</v>
      </c>
      <c r="B89" s="4" t="s">
        <v>214</v>
      </c>
      <c r="C89" s="4" t="s">
        <v>215</v>
      </c>
      <c r="D89" s="4" t="s">
        <v>216</v>
      </c>
      <c r="E89" s="4" t="s">
        <v>13</v>
      </c>
      <c r="F89" s="5">
        <v>21011200</v>
      </c>
      <c r="G89" s="5">
        <v>14690600</v>
      </c>
      <c r="H89" s="5">
        <v>10</v>
      </c>
    </row>
    <row r="90" spans="1:8" x14ac:dyDescent="0.35">
      <c r="A90" s="4" t="s">
        <v>141</v>
      </c>
      <c r="B90" s="4" t="s">
        <v>214</v>
      </c>
      <c r="C90" s="4" t="s">
        <v>215</v>
      </c>
      <c r="D90" s="4" t="s">
        <v>216</v>
      </c>
      <c r="E90" s="4" t="s">
        <v>13</v>
      </c>
      <c r="F90" s="5">
        <v>5250000</v>
      </c>
      <c r="G90" s="5">
        <v>3150000</v>
      </c>
      <c r="H90" s="5">
        <v>10</v>
      </c>
    </row>
    <row r="91" spans="1:8" x14ac:dyDescent="0.35">
      <c r="A91" s="4" t="s">
        <v>141</v>
      </c>
      <c r="B91" s="4" t="s">
        <v>214</v>
      </c>
      <c r="C91" s="4" t="s">
        <v>215</v>
      </c>
      <c r="D91" s="4" t="s">
        <v>216</v>
      </c>
      <c r="E91" s="4" t="s">
        <v>13</v>
      </c>
      <c r="F91" s="5">
        <v>4500000</v>
      </c>
      <c r="G91" s="5">
        <v>2250000</v>
      </c>
      <c r="H91" s="5">
        <v>10</v>
      </c>
    </row>
    <row r="92" spans="1:8" x14ac:dyDescent="0.35">
      <c r="A92" s="4" t="s">
        <v>145</v>
      </c>
      <c r="B92" s="4" t="s">
        <v>214</v>
      </c>
      <c r="C92" s="4" t="s">
        <v>215</v>
      </c>
      <c r="D92" s="4" t="s">
        <v>216</v>
      </c>
      <c r="E92" s="4" t="s">
        <v>13</v>
      </c>
      <c r="F92" s="5">
        <v>27478710</v>
      </c>
      <c r="G92" s="5">
        <v>15722430</v>
      </c>
      <c r="H92" s="5">
        <v>10</v>
      </c>
    </row>
    <row r="93" spans="1:8" x14ac:dyDescent="0.35">
      <c r="A93" s="4" t="s">
        <v>145</v>
      </c>
      <c r="B93" s="4" t="s">
        <v>214</v>
      </c>
      <c r="C93" s="4" t="s">
        <v>215</v>
      </c>
      <c r="D93" s="4" t="s">
        <v>216</v>
      </c>
      <c r="E93" s="4" t="s">
        <v>13</v>
      </c>
      <c r="F93" s="5">
        <v>22500000</v>
      </c>
      <c r="G93" s="5">
        <v>11250000</v>
      </c>
      <c r="H93" s="5">
        <v>10</v>
      </c>
    </row>
    <row r="94" spans="1:8" x14ac:dyDescent="0.35">
      <c r="A94" s="4" t="s">
        <v>149</v>
      </c>
      <c r="B94" s="4" t="s">
        <v>214</v>
      </c>
      <c r="C94" s="4" t="s">
        <v>215</v>
      </c>
      <c r="D94" s="4" t="s">
        <v>216</v>
      </c>
      <c r="E94" s="4" t="s">
        <v>13</v>
      </c>
      <c r="F94" s="5">
        <v>27478710</v>
      </c>
      <c r="G94" s="5">
        <v>10978710</v>
      </c>
      <c r="H94" s="5">
        <v>10</v>
      </c>
    </row>
    <row r="95" spans="1:8" x14ac:dyDescent="0.35">
      <c r="A95" s="4" t="s">
        <v>153</v>
      </c>
      <c r="B95" s="4" t="s">
        <v>214</v>
      </c>
      <c r="C95" s="4" t="s">
        <v>215</v>
      </c>
      <c r="D95" s="4" t="s">
        <v>216</v>
      </c>
      <c r="E95" s="4" t="s">
        <v>13</v>
      </c>
      <c r="F95" s="5">
        <v>67893333</v>
      </c>
      <c r="G95" s="5">
        <v>6586666</v>
      </c>
      <c r="H95" s="5">
        <v>10</v>
      </c>
    </row>
    <row r="96" spans="1:8" x14ac:dyDescent="0.35">
      <c r="A96" s="4" t="s">
        <v>153</v>
      </c>
      <c r="B96" s="4" t="s">
        <v>214</v>
      </c>
      <c r="C96" s="4" t="s">
        <v>215</v>
      </c>
      <c r="D96" s="4" t="s">
        <v>216</v>
      </c>
      <c r="E96" s="4" t="s">
        <v>13</v>
      </c>
      <c r="F96" s="5">
        <v>45943240</v>
      </c>
      <c r="G96" s="5">
        <v>7993240</v>
      </c>
      <c r="H96" s="5">
        <v>10</v>
      </c>
    </row>
    <row r="97" spans="1:8" x14ac:dyDescent="0.35">
      <c r="A97" s="4" t="s">
        <v>157</v>
      </c>
      <c r="B97" s="4" t="s">
        <v>214</v>
      </c>
      <c r="C97" s="4" t="s">
        <v>215</v>
      </c>
      <c r="D97" s="4" t="s">
        <v>216</v>
      </c>
      <c r="E97" s="4" t="s">
        <v>13</v>
      </c>
      <c r="F97" s="5">
        <v>1800000</v>
      </c>
      <c r="G97" s="5">
        <v>0</v>
      </c>
      <c r="H97" s="5">
        <v>10</v>
      </c>
    </row>
    <row r="98" spans="1:8" x14ac:dyDescent="0.35">
      <c r="A98" s="4" t="s">
        <v>157</v>
      </c>
      <c r="B98" s="4" t="s">
        <v>214</v>
      </c>
      <c r="C98" s="4" t="s">
        <v>215</v>
      </c>
      <c r="D98" s="4" t="s">
        <v>216</v>
      </c>
      <c r="E98" s="4" t="s">
        <v>13</v>
      </c>
      <c r="F98" s="5">
        <v>40800000</v>
      </c>
      <c r="G98" s="5">
        <v>0</v>
      </c>
      <c r="H98" s="5">
        <v>10</v>
      </c>
    </row>
    <row r="99" spans="1:8" x14ac:dyDescent="0.35">
      <c r="A99" s="4" t="s">
        <v>161</v>
      </c>
      <c r="B99" s="4" t="s">
        <v>214</v>
      </c>
      <c r="C99" s="4" t="s">
        <v>215</v>
      </c>
      <c r="D99" s="4" t="s">
        <v>216</v>
      </c>
      <c r="E99" s="4" t="s">
        <v>13</v>
      </c>
      <c r="F99" s="5">
        <v>79382940</v>
      </c>
      <c r="G99" s="5">
        <v>21382940</v>
      </c>
      <c r="H99" s="5">
        <v>10</v>
      </c>
    </row>
    <row r="100" spans="1:8" x14ac:dyDescent="0.35">
      <c r="A100" s="4" t="s">
        <v>161</v>
      </c>
      <c r="B100" s="4" t="s">
        <v>214</v>
      </c>
      <c r="C100" s="4" t="s">
        <v>215</v>
      </c>
      <c r="D100" s="4" t="s">
        <v>216</v>
      </c>
      <c r="E100" s="4" t="s">
        <v>13</v>
      </c>
      <c r="F100" s="5">
        <v>17000000</v>
      </c>
      <c r="G100" s="5">
        <v>0</v>
      </c>
      <c r="H100" s="5">
        <v>10</v>
      </c>
    </row>
    <row r="101" spans="1:8" x14ac:dyDescent="0.35">
      <c r="A101" s="4" t="s">
        <v>161</v>
      </c>
      <c r="B101" s="4" t="s">
        <v>214</v>
      </c>
      <c r="C101" s="4" t="s">
        <v>215</v>
      </c>
      <c r="D101" s="4" t="s">
        <v>216</v>
      </c>
      <c r="E101" s="4" t="s">
        <v>13</v>
      </c>
      <c r="F101" s="5">
        <v>10500000</v>
      </c>
      <c r="G101" s="5">
        <v>0</v>
      </c>
      <c r="H101" s="5">
        <v>10</v>
      </c>
    </row>
    <row r="102" spans="1:8" x14ac:dyDescent="0.35">
      <c r="A102" s="4" t="s">
        <v>162</v>
      </c>
      <c r="B102" s="4" t="s">
        <v>214</v>
      </c>
      <c r="C102" s="4" t="s">
        <v>215</v>
      </c>
      <c r="D102" s="4" t="s">
        <v>216</v>
      </c>
      <c r="E102" s="4" t="s">
        <v>13</v>
      </c>
      <c r="F102" s="5">
        <v>21011200</v>
      </c>
      <c r="G102" s="5">
        <v>7212800</v>
      </c>
      <c r="H102" s="5">
        <v>10</v>
      </c>
    </row>
    <row r="103" spans="1:8" x14ac:dyDescent="0.35">
      <c r="A103" s="4" t="s">
        <v>162</v>
      </c>
      <c r="B103" s="4" t="s">
        <v>214</v>
      </c>
      <c r="C103" s="4" t="s">
        <v>215</v>
      </c>
      <c r="D103" s="4" t="s">
        <v>216</v>
      </c>
      <c r="E103" s="4" t="s">
        <v>13</v>
      </c>
      <c r="F103" s="5">
        <v>2250000</v>
      </c>
      <c r="G103" s="5">
        <v>1350000</v>
      </c>
      <c r="H103" s="5">
        <v>10</v>
      </c>
    </row>
    <row r="104" spans="1:8" x14ac:dyDescent="0.35">
      <c r="A104" s="4" t="s">
        <v>166</v>
      </c>
      <c r="B104" s="4" t="s">
        <v>214</v>
      </c>
      <c r="C104" s="4" t="s">
        <v>215</v>
      </c>
      <c r="D104" s="4" t="s">
        <v>216</v>
      </c>
      <c r="E104" s="4" t="s">
        <v>13</v>
      </c>
      <c r="F104" s="5">
        <v>27478710</v>
      </c>
      <c r="G104" s="5">
        <v>6972210</v>
      </c>
      <c r="H104" s="5">
        <v>10</v>
      </c>
    </row>
    <row r="105" spans="1:8" x14ac:dyDescent="0.35">
      <c r="A105" s="4" t="s">
        <v>166</v>
      </c>
      <c r="B105" s="4" t="s">
        <v>214</v>
      </c>
      <c r="C105" s="4" t="s">
        <v>215</v>
      </c>
      <c r="D105" s="4" t="s">
        <v>216</v>
      </c>
      <c r="E105" s="4" t="s">
        <v>13</v>
      </c>
      <c r="F105" s="5">
        <v>17000000</v>
      </c>
      <c r="G105" s="5">
        <v>17000000</v>
      </c>
      <c r="H105" s="5">
        <v>10</v>
      </c>
    </row>
    <row r="106" spans="1:8" x14ac:dyDescent="0.35">
      <c r="A106" s="4" t="s">
        <v>167</v>
      </c>
      <c r="B106" s="4" t="s">
        <v>214</v>
      </c>
      <c r="C106" s="4" t="s">
        <v>215</v>
      </c>
      <c r="D106" s="4" t="s">
        <v>216</v>
      </c>
      <c r="E106" s="4" t="s">
        <v>13</v>
      </c>
      <c r="F106" s="5">
        <v>17152000</v>
      </c>
      <c r="G106" s="5">
        <v>3072000</v>
      </c>
      <c r="H106" s="5">
        <v>10</v>
      </c>
    </row>
    <row r="107" spans="1:8" x14ac:dyDescent="0.35">
      <c r="A107" s="4" t="s">
        <v>171</v>
      </c>
      <c r="B107" s="4" t="s">
        <v>214</v>
      </c>
      <c r="C107" s="4" t="s">
        <v>215</v>
      </c>
      <c r="D107" s="4" t="s">
        <v>216</v>
      </c>
      <c r="E107" s="4" t="s">
        <v>13</v>
      </c>
      <c r="F107" s="5">
        <v>181076636</v>
      </c>
      <c r="G107" s="5">
        <v>17946000</v>
      </c>
      <c r="H107" s="5">
        <v>10</v>
      </c>
    </row>
    <row r="108" spans="1:8" x14ac:dyDescent="0.35">
      <c r="A108" s="4" t="s">
        <v>171</v>
      </c>
      <c r="B108" s="4" t="s">
        <v>214</v>
      </c>
      <c r="C108" s="4" t="s">
        <v>215</v>
      </c>
      <c r="D108" s="4" t="s">
        <v>216</v>
      </c>
      <c r="E108" s="4" t="s">
        <v>13</v>
      </c>
      <c r="F108" s="5">
        <v>4500000</v>
      </c>
      <c r="G108" s="5">
        <v>4500000</v>
      </c>
      <c r="H108" s="5">
        <v>10</v>
      </c>
    </row>
    <row r="109" spans="1:8" x14ac:dyDescent="0.35">
      <c r="A109" s="4" t="s">
        <v>172</v>
      </c>
      <c r="B109" s="4" t="s">
        <v>214</v>
      </c>
      <c r="C109" s="4" t="s">
        <v>215</v>
      </c>
      <c r="D109" s="4" t="s">
        <v>216</v>
      </c>
      <c r="E109" s="4" t="s">
        <v>13</v>
      </c>
      <c r="F109" s="5">
        <v>2250000</v>
      </c>
      <c r="G109" s="5">
        <v>1350000</v>
      </c>
      <c r="H109" s="5">
        <v>10</v>
      </c>
    </row>
    <row r="110" spans="1:8" x14ac:dyDescent="0.35">
      <c r="A110" s="4" t="s">
        <v>172</v>
      </c>
      <c r="B110" s="4" t="s">
        <v>214</v>
      </c>
      <c r="C110" s="4" t="s">
        <v>215</v>
      </c>
      <c r="D110" s="4" t="s">
        <v>216</v>
      </c>
      <c r="E110" s="4" t="s">
        <v>13</v>
      </c>
      <c r="F110" s="5">
        <v>47525333</v>
      </c>
      <c r="G110" s="5">
        <v>4965333</v>
      </c>
      <c r="H110" s="5">
        <v>10</v>
      </c>
    </row>
    <row r="111" spans="1:8" x14ac:dyDescent="0.35">
      <c r="A111" s="4" t="s">
        <v>173</v>
      </c>
      <c r="B111" s="4" t="s">
        <v>214</v>
      </c>
      <c r="C111" s="4" t="s">
        <v>215</v>
      </c>
      <c r="D111" s="4" t="s">
        <v>216</v>
      </c>
      <c r="E111" s="4" t="s">
        <v>13</v>
      </c>
      <c r="F111" s="5">
        <v>23553180</v>
      </c>
      <c r="G111" s="5">
        <v>10353180</v>
      </c>
      <c r="H111" s="5">
        <v>10</v>
      </c>
    </row>
    <row r="112" spans="1:8" x14ac:dyDescent="0.35">
      <c r="A112" s="4" t="s">
        <v>177</v>
      </c>
      <c r="B112" s="4" t="s">
        <v>214</v>
      </c>
      <c r="C112" s="4" t="s">
        <v>215</v>
      </c>
      <c r="D112" s="4" t="s">
        <v>216</v>
      </c>
      <c r="E112" s="4" t="s">
        <v>13</v>
      </c>
      <c r="F112" s="5">
        <v>36250000</v>
      </c>
      <c r="G112" s="5">
        <v>0</v>
      </c>
      <c r="H112" s="5">
        <v>10</v>
      </c>
    </row>
    <row r="113" spans="1:8" x14ac:dyDescent="0.35">
      <c r="A113" s="4" t="s">
        <v>181</v>
      </c>
      <c r="B113" s="4" t="s">
        <v>214</v>
      </c>
      <c r="C113" s="4" t="s">
        <v>215</v>
      </c>
      <c r="D113" s="4" t="s">
        <v>216</v>
      </c>
      <c r="E113" s="4" t="s">
        <v>13</v>
      </c>
      <c r="F113" s="5">
        <v>17152000</v>
      </c>
      <c r="G113" s="5">
        <v>5888000</v>
      </c>
      <c r="H113" s="5">
        <v>10</v>
      </c>
    </row>
    <row r="114" spans="1:8" x14ac:dyDescent="0.35">
      <c r="A114" s="4" t="s">
        <v>185</v>
      </c>
      <c r="B114" s="4" t="s">
        <v>214</v>
      </c>
      <c r="C114" s="4" t="s">
        <v>215</v>
      </c>
      <c r="D114" s="4" t="s">
        <v>216</v>
      </c>
      <c r="E114" s="4" t="s">
        <v>13</v>
      </c>
      <c r="F114" s="5">
        <v>17000000</v>
      </c>
      <c r="G114" s="5">
        <v>0</v>
      </c>
      <c r="H114" s="5">
        <v>10</v>
      </c>
    </row>
    <row r="115" spans="1:8" x14ac:dyDescent="0.35">
      <c r="A115" s="4" t="s">
        <v>186</v>
      </c>
      <c r="B115" s="4" t="s">
        <v>214</v>
      </c>
      <c r="C115" s="4" t="s">
        <v>215</v>
      </c>
      <c r="D115" s="4" t="s">
        <v>216</v>
      </c>
      <c r="E115" s="4" t="s">
        <v>13</v>
      </c>
      <c r="F115" s="5">
        <v>5250000</v>
      </c>
      <c r="G115" s="5">
        <v>3150000</v>
      </c>
      <c r="H115" s="5">
        <v>10</v>
      </c>
    </row>
    <row r="116" spans="1:8" x14ac:dyDescent="0.35">
      <c r="A116" s="4" t="s">
        <v>186</v>
      </c>
      <c r="B116" s="4" t="s">
        <v>214</v>
      </c>
      <c r="C116" s="4" t="s">
        <v>215</v>
      </c>
      <c r="D116" s="4" t="s">
        <v>216</v>
      </c>
      <c r="E116" s="4" t="s">
        <v>13</v>
      </c>
      <c r="F116" s="5">
        <v>60032000</v>
      </c>
      <c r="G116" s="5">
        <v>6272000</v>
      </c>
      <c r="H116" s="5">
        <v>10</v>
      </c>
    </row>
    <row r="117" spans="1:8" x14ac:dyDescent="0.35">
      <c r="A117" s="4" t="s">
        <v>187</v>
      </c>
      <c r="B117" s="4" t="s">
        <v>214</v>
      </c>
      <c r="C117" s="4" t="s">
        <v>215</v>
      </c>
      <c r="D117" s="4" t="s">
        <v>216</v>
      </c>
      <c r="E117" s="4" t="s">
        <v>13</v>
      </c>
      <c r="F117" s="5">
        <v>18755310</v>
      </c>
      <c r="G117" s="5">
        <v>3905310</v>
      </c>
      <c r="H117" s="5">
        <v>10</v>
      </c>
    </row>
    <row r="118" spans="1:8" x14ac:dyDescent="0.35">
      <c r="A118" s="4" t="s">
        <v>187</v>
      </c>
      <c r="B118" s="4" t="s">
        <v>214</v>
      </c>
      <c r="C118" s="4" t="s">
        <v>215</v>
      </c>
      <c r="D118" s="4" t="s">
        <v>216</v>
      </c>
      <c r="E118" s="4" t="s">
        <v>13</v>
      </c>
      <c r="F118" s="5">
        <v>10500000</v>
      </c>
      <c r="G118" s="5">
        <v>5250000</v>
      </c>
      <c r="H118" s="5">
        <v>10</v>
      </c>
    </row>
    <row r="119" spans="1:8" x14ac:dyDescent="0.35">
      <c r="A119" s="4" t="s">
        <v>188</v>
      </c>
      <c r="B119" s="4" t="s">
        <v>214</v>
      </c>
      <c r="C119" s="4" t="s">
        <v>215</v>
      </c>
      <c r="D119" s="4" t="s">
        <v>216</v>
      </c>
      <c r="E119" s="4" t="s">
        <v>13</v>
      </c>
      <c r="F119" s="5">
        <v>105000000</v>
      </c>
      <c r="G119" s="5">
        <v>0</v>
      </c>
      <c r="H119" s="5">
        <v>10</v>
      </c>
    </row>
    <row r="120" spans="1:8" x14ac:dyDescent="0.35">
      <c r="A120" s="4" t="s">
        <v>192</v>
      </c>
      <c r="B120" s="4" t="s">
        <v>214</v>
      </c>
      <c r="C120" s="4" t="s">
        <v>215</v>
      </c>
      <c r="D120" s="4" t="s">
        <v>216</v>
      </c>
      <c r="E120" s="4" t="s">
        <v>13</v>
      </c>
      <c r="F120" s="5">
        <v>95521230</v>
      </c>
      <c r="G120" s="5">
        <v>36553230</v>
      </c>
      <c r="H120" s="5">
        <v>10</v>
      </c>
    </row>
    <row r="121" spans="1:8" x14ac:dyDescent="0.35">
      <c r="A121" s="4" t="s">
        <v>192</v>
      </c>
      <c r="B121" s="4" t="s">
        <v>214</v>
      </c>
      <c r="C121" s="4" t="s">
        <v>215</v>
      </c>
      <c r="D121" s="4" t="s">
        <v>216</v>
      </c>
      <c r="E121" s="4" t="s">
        <v>13</v>
      </c>
      <c r="F121" s="5">
        <v>10500000</v>
      </c>
      <c r="G121" s="5">
        <v>8400000</v>
      </c>
      <c r="H121" s="5">
        <v>10</v>
      </c>
    </row>
    <row r="122" spans="1:8" x14ac:dyDescent="0.35">
      <c r="A122" s="4" t="s">
        <v>196</v>
      </c>
      <c r="B122" s="4" t="s">
        <v>214</v>
      </c>
      <c r="C122" s="4" t="s">
        <v>215</v>
      </c>
      <c r="D122" s="4" t="s">
        <v>216</v>
      </c>
      <c r="E122" s="4" t="s">
        <v>13</v>
      </c>
      <c r="F122" s="5">
        <v>52631180</v>
      </c>
      <c r="G122" s="5">
        <v>16331180</v>
      </c>
      <c r="H122" s="5">
        <v>10</v>
      </c>
    </row>
    <row r="123" spans="1:8" x14ac:dyDescent="0.35">
      <c r="A123" s="4" t="s">
        <v>200</v>
      </c>
      <c r="B123" s="4" t="s">
        <v>214</v>
      </c>
      <c r="C123" s="4" t="s">
        <v>215</v>
      </c>
      <c r="D123" s="4" t="s">
        <v>216</v>
      </c>
      <c r="E123" s="4" t="s">
        <v>13</v>
      </c>
      <c r="F123" s="5">
        <v>45943240</v>
      </c>
      <c r="G123" s="5">
        <v>17143240</v>
      </c>
      <c r="H123" s="5">
        <v>10</v>
      </c>
    </row>
    <row r="124" spans="1:8" x14ac:dyDescent="0.35">
      <c r="A124" s="4" t="s">
        <v>204</v>
      </c>
      <c r="B124" s="4" t="s">
        <v>214</v>
      </c>
      <c r="C124" s="4" t="s">
        <v>215</v>
      </c>
      <c r="D124" s="4" t="s">
        <v>216</v>
      </c>
      <c r="E124" s="4" t="s">
        <v>13</v>
      </c>
      <c r="F124" s="5">
        <v>78390000</v>
      </c>
      <c r="G124" s="5">
        <v>14040000</v>
      </c>
      <c r="H124" s="5">
        <v>10</v>
      </c>
    </row>
    <row r="125" spans="1:8" x14ac:dyDescent="0.35">
      <c r="A125" s="4" t="s">
        <v>205</v>
      </c>
      <c r="B125" s="4" t="s">
        <v>214</v>
      </c>
      <c r="C125" s="4" t="s">
        <v>215</v>
      </c>
      <c r="D125" s="4" t="s">
        <v>216</v>
      </c>
      <c r="E125" s="4" t="s">
        <v>13</v>
      </c>
      <c r="F125" s="5">
        <v>110326667</v>
      </c>
      <c r="G125" s="5">
        <v>19760000</v>
      </c>
      <c r="H125" s="5">
        <v>10</v>
      </c>
    </row>
    <row r="126" spans="1:8" x14ac:dyDescent="0.35">
      <c r="A126" s="4" t="s">
        <v>206</v>
      </c>
      <c r="B126" s="4" t="s">
        <v>214</v>
      </c>
      <c r="C126" s="4" t="s">
        <v>215</v>
      </c>
      <c r="D126" s="4" t="s">
        <v>216</v>
      </c>
      <c r="E126" s="4" t="s">
        <v>13</v>
      </c>
      <c r="F126" s="5">
        <v>221449212</v>
      </c>
      <c r="G126" s="5">
        <v>39662545</v>
      </c>
      <c r="H126" s="5">
        <v>10</v>
      </c>
    </row>
    <row r="127" spans="1:8" x14ac:dyDescent="0.35">
      <c r="G127" s="2">
        <f>SUM(G2:G126)</f>
        <v>1335520953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Sheet2</vt:lpstr>
      <vt:lpstr>Sheet1!pre_sheet1</vt:lpstr>
      <vt:lpstr>Sheet2!pre_sheet2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2025-06-09T08:26:14Z</dcterms:modified>
</cp:coreProperties>
</file>