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.mohammadi\Desktop\"/>
    </mc:Choice>
  </mc:AlternateContent>
  <bookViews>
    <workbookView xWindow="0" yWindow="0" windowWidth="1920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" l="1"/>
  <c r="J39" i="1"/>
  <c r="G39" i="1"/>
  <c r="J38" i="1"/>
  <c r="G38" i="1"/>
  <c r="J37" i="1"/>
  <c r="G37" i="1"/>
  <c r="J36" i="1"/>
  <c r="G36" i="1"/>
  <c r="J35" i="1"/>
  <c r="G35" i="1"/>
  <c r="P34" i="1"/>
  <c r="J34" i="1"/>
  <c r="G34" i="1"/>
  <c r="M34" i="1" s="1"/>
  <c r="J33" i="1"/>
  <c r="G33" i="1"/>
  <c r="P32" i="1"/>
  <c r="J32" i="1"/>
  <c r="G32" i="1"/>
  <c r="M32" i="1" s="1"/>
  <c r="P31" i="1"/>
  <c r="J31" i="1"/>
  <c r="G31" i="1"/>
  <c r="M31" i="1" s="1"/>
  <c r="P30" i="1"/>
  <c r="J30" i="1"/>
  <c r="G30" i="1"/>
  <c r="M30" i="1" s="1"/>
  <c r="P29" i="1"/>
  <c r="J29" i="1"/>
  <c r="G29" i="1"/>
  <c r="M29" i="1" s="1"/>
  <c r="P28" i="1"/>
  <c r="J28" i="1"/>
  <c r="G28" i="1"/>
  <c r="M28" i="1" s="1"/>
  <c r="P27" i="1"/>
  <c r="J27" i="1"/>
  <c r="G27" i="1"/>
  <c r="M27" i="1" s="1"/>
  <c r="J26" i="1"/>
  <c r="G26" i="1"/>
  <c r="P25" i="1"/>
  <c r="J25" i="1"/>
  <c r="G25" i="1"/>
  <c r="M25" i="1" s="1"/>
  <c r="P24" i="1"/>
  <c r="J24" i="1"/>
  <c r="G24" i="1"/>
  <c r="M24" i="1" s="1"/>
  <c r="P23" i="1"/>
  <c r="J23" i="1"/>
  <c r="G23" i="1"/>
  <c r="M23" i="1" s="1"/>
  <c r="P22" i="1"/>
  <c r="J22" i="1"/>
  <c r="G22" i="1"/>
  <c r="M22" i="1" s="1"/>
  <c r="P21" i="1"/>
  <c r="J21" i="1"/>
  <c r="G21" i="1"/>
  <c r="M21" i="1" s="1"/>
  <c r="P20" i="1"/>
  <c r="J20" i="1"/>
  <c r="G20" i="1"/>
  <c r="M20" i="1" s="1"/>
  <c r="P19" i="1"/>
  <c r="J19" i="1"/>
  <c r="G19" i="1"/>
  <c r="M19" i="1" s="1"/>
  <c r="P18" i="1"/>
  <c r="J18" i="1"/>
  <c r="G18" i="1"/>
  <c r="M18" i="1" s="1"/>
  <c r="P17" i="1"/>
  <c r="J17" i="1"/>
  <c r="G17" i="1"/>
  <c r="M17" i="1" s="1"/>
  <c r="P16" i="1"/>
  <c r="J16" i="1"/>
  <c r="G16" i="1"/>
  <c r="M16" i="1" s="1"/>
  <c r="P15" i="1"/>
  <c r="J15" i="1"/>
  <c r="G15" i="1"/>
  <c r="M15" i="1" s="1"/>
  <c r="P14" i="1"/>
  <c r="J14" i="1"/>
  <c r="G14" i="1"/>
  <c r="M14" i="1" s="1"/>
  <c r="P13" i="1"/>
  <c r="J13" i="1"/>
  <c r="G13" i="1"/>
  <c r="M13" i="1" s="1"/>
  <c r="G12" i="1"/>
  <c r="M12" i="1" s="1"/>
  <c r="G11" i="1"/>
  <c r="P11" i="1" s="1"/>
  <c r="G10" i="1"/>
  <c r="P10" i="1" s="1"/>
  <c r="G9" i="1"/>
  <c r="P9" i="1" s="1"/>
  <c r="G8" i="1"/>
  <c r="P8" i="1" s="1"/>
  <c r="G7" i="1"/>
  <c r="P7" i="1" s="1"/>
  <c r="G6" i="1"/>
  <c r="P6" i="1" s="1"/>
  <c r="G5" i="1"/>
  <c r="P5" i="1" s="1"/>
  <c r="G4" i="1"/>
  <c r="P4" i="1" s="1"/>
  <c r="G3" i="1"/>
  <c r="P3" i="1" s="1"/>
  <c r="G2" i="1"/>
  <c r="P2" i="1" s="1"/>
  <c r="M2" i="1" l="1"/>
  <c r="M3" i="1"/>
  <c r="M4" i="1"/>
  <c r="M5" i="1"/>
  <c r="M6" i="1"/>
  <c r="M7" i="1"/>
  <c r="M8" i="1"/>
  <c r="M9" i="1"/>
  <c r="M10" i="1"/>
  <c r="M11" i="1"/>
  <c r="P12" i="1"/>
  <c r="P41" i="1" s="1"/>
  <c r="G41" i="1"/>
  <c r="J2" i="1"/>
  <c r="J3" i="1"/>
  <c r="J4" i="1"/>
  <c r="J5" i="1"/>
  <c r="J6" i="1"/>
  <c r="J7" i="1"/>
  <c r="J8" i="1"/>
  <c r="J9" i="1"/>
  <c r="J10" i="1"/>
  <c r="J11" i="1"/>
  <c r="J41" i="1" l="1"/>
  <c r="M41" i="1"/>
</calcChain>
</file>

<file path=xl/sharedStrings.xml><?xml version="1.0" encoding="utf-8"?>
<sst xmlns="http://schemas.openxmlformats.org/spreadsheetml/2006/main" count="153" uniqueCount="94">
  <si>
    <t>ردیف</t>
  </si>
  <si>
    <t>نام شرکت</t>
  </si>
  <si>
    <t>مبلغ سرویس در خرداد ماه</t>
  </si>
  <si>
    <t>میزان پهنای باند</t>
  </si>
  <si>
    <t>تاریخ</t>
  </si>
  <si>
    <t>مدت زمان(ماه)</t>
  </si>
  <si>
    <t>خالص درآمد</t>
  </si>
  <si>
    <t>شخص بازاریاب اول</t>
  </si>
  <si>
    <t>درصد پورسانت شخص اول</t>
  </si>
  <si>
    <t>مبلغ پورسانت(ریال) شخص اول</t>
  </si>
  <si>
    <t>شخص بازاریاب دوم</t>
  </si>
  <si>
    <t>درصد پورسانت شخص دوم</t>
  </si>
  <si>
    <t>مبلغ پورسانت(ریال) شخص دوم</t>
  </si>
  <si>
    <t>شخص بازاریاب سوم</t>
  </si>
  <si>
    <t>درصد پورسانت شخص سوم</t>
  </si>
  <si>
    <t>مبلغ پورسانت(ریال) شخص سوم</t>
  </si>
  <si>
    <t>شرکت ایستاب(سرویس اینترانت به جز ای پی)</t>
  </si>
  <si>
    <t>خرداد-1404</t>
  </si>
  <si>
    <t>فروغی</t>
  </si>
  <si>
    <t>کبیرموتور(سرویس اینترانت به جز ای پی)</t>
  </si>
  <si>
    <t>سیاح پور</t>
  </si>
  <si>
    <t>موسسه حافظ(سرویس اینترنت به جز ای پی)</t>
  </si>
  <si>
    <t>روستا(شخص خارجی)</t>
  </si>
  <si>
    <t>کارخانه قند اقلید</t>
  </si>
  <si>
    <t>رفیعی(شخص خارجی)</t>
  </si>
  <si>
    <t>شیرازی</t>
  </si>
  <si>
    <t>پامیکو(اینترانت)</t>
  </si>
  <si>
    <t>رجایی اقلید</t>
  </si>
  <si>
    <t>پامیکو(اینترنت)</t>
  </si>
  <si>
    <t>دانشگاه رجایی-سلیمانی-mpls-128 Kb</t>
  </si>
  <si>
    <t>رسول صداقت</t>
  </si>
  <si>
    <t>دانشگاه رجایی-سلیمانی-یوزرهای حجمی:292+9</t>
  </si>
  <si>
    <t>دانشگاه رجایی سلیمانی-یک مگ اینترنت-یوزر جت نت هست</t>
  </si>
  <si>
    <t>دانشگاه آزاد قادرآباد(سرویس اینترنت به جز ای پی)</t>
  </si>
  <si>
    <t>اقای شیرازی</t>
  </si>
  <si>
    <t>صنعت معدن-فرمانداری- ددیکیت های اقای وصال-نیریز</t>
  </si>
  <si>
    <t>اقای محمد علی هدایتی</t>
  </si>
  <si>
    <t>هفت خوان(سرویس اینترنت به جز ای پی)</t>
  </si>
  <si>
    <t>اقای هوشیارزاده</t>
  </si>
  <si>
    <t>دانشگاه پیام نور داراب (سرویس اینترنت به جز ای پی)</t>
  </si>
  <si>
    <t>اقای ایمان رهبر</t>
  </si>
  <si>
    <t>زرین غزال(سرویس+vps-به جز سرویس اصفهان و ای پی )</t>
  </si>
  <si>
    <t>ددیکیت های کازرون(طاها دانش)</t>
  </si>
  <si>
    <t>اقای سیاح پور</t>
  </si>
  <si>
    <t>کارخانه زیتک قادرآباد(مرتضی ابراهیمی)-اینترنت</t>
  </si>
  <si>
    <t>اقای علی اصغر زارعی</t>
  </si>
  <si>
    <t>دانشگاه آزاد زاهد شهر(سرویس اینترنت به جز ای پی)</t>
  </si>
  <si>
    <t>اقای حیدری</t>
  </si>
  <si>
    <t>بنیاد مسکن-اقدام ملی فیروزآباد</t>
  </si>
  <si>
    <t>اقای فروغی</t>
  </si>
  <si>
    <t>کارخانه آرد مارون(سرویس اینترنت به جز ای پی)</t>
  </si>
  <si>
    <t>اقای خالوئی</t>
  </si>
  <si>
    <t>شیراز چلیک-فقط سرویس mlps شیراز و فتح آباد</t>
  </si>
  <si>
    <t>اقای قاسمی</t>
  </si>
  <si>
    <t>اقای صداقت</t>
  </si>
  <si>
    <t>شیراز چلیک(از مبلغ کل فاکتور)</t>
  </si>
  <si>
    <t>اقای جوکار</t>
  </si>
  <si>
    <t>شیراز چلیک-فقط پاور و فضا فتح آباد</t>
  </si>
  <si>
    <t>هتل داروش-اینترنت</t>
  </si>
  <si>
    <t>سحرسازه نوین پایدار-فقط پاور و فضا خرامه</t>
  </si>
  <si>
    <t>اقای کشاورز</t>
  </si>
  <si>
    <t>سحرسازه نوین پایدار-فقط پاور و فضا سیمکان</t>
  </si>
  <si>
    <t>علی اکبر روستا</t>
  </si>
  <si>
    <t>علی اکبر حسینی منش-اینترانت</t>
  </si>
  <si>
    <t>اقای حامد کشتکار</t>
  </si>
  <si>
    <t>اقای حامد قاسمی</t>
  </si>
  <si>
    <t>بهره برداری و تعمیراتی مپنا-اینترانت</t>
  </si>
  <si>
    <t>خانم عاطفه سمیع پور(فرجام)</t>
  </si>
  <si>
    <t>اقای سفید فرد</t>
  </si>
  <si>
    <t>مجتمع سنگ نیریز(پاور و فضا از سرویس 20 مگ اینترنت)</t>
  </si>
  <si>
    <t>اقای هدایتی</t>
  </si>
  <si>
    <t>مجتمع سنگ نیریز(سرویس اینترنت20 مگ+ای پی)</t>
  </si>
  <si>
    <t>اقای وصال</t>
  </si>
  <si>
    <t>مهندسین عمران مارون-سرویس اینترنت</t>
  </si>
  <si>
    <t>اقای حسن زاده</t>
  </si>
  <si>
    <t>گروه تولیدی مهرام-فقط سرویس اینترنت</t>
  </si>
  <si>
    <t>عبدالهی(شخص خارجی)</t>
  </si>
  <si>
    <t>اسدزاده</t>
  </si>
  <si>
    <t>گروه تولیدی مهرام-فقط پاور و فضا ملوس جان</t>
  </si>
  <si>
    <t>محمدرضا محمدی-اشتراک 181062-اینترانت</t>
  </si>
  <si>
    <t>علیرضا زاهدی جهرمی</t>
  </si>
  <si>
    <t>فرحناز حسن نژادیان شیرازی</t>
  </si>
  <si>
    <t>آبفا شیراز-سیاخ دارنگون-mpls</t>
  </si>
  <si>
    <t>آبفا شیراز-داریون-mpls</t>
  </si>
  <si>
    <t>آبفا شیراز-قره چمن-mpls</t>
  </si>
  <si>
    <t>همایونفر</t>
  </si>
  <si>
    <t>آبفا شیراز-کوهمره سرخی-mpls</t>
  </si>
  <si>
    <t>صنعت و معدن اوز-بابت اینکه روی دکل نماینده هست-مبلغ ماهیانه ثابت هست و کاری به مبلغ سرویس ندارد</t>
  </si>
  <si>
    <t>512 کیلوبیت</t>
  </si>
  <si>
    <t>خانم بناری</t>
  </si>
  <si>
    <t>فرمانداری-صنعت و معدن-بنیاد مسکن در خرامه</t>
  </si>
  <si>
    <t>کاری به مبلغ سرویس ها ندارد و یک چیز ثابت هست</t>
  </si>
  <si>
    <t>محمد جواد کشاورزی(نماینده خرامه)</t>
  </si>
  <si>
    <t>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</si>
</sst>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00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2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 readingOrder="2"/>
    </xf>
    <xf numFmtId="16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4" fontId="0" fillId="2" borderId="1" xfId="0" applyNumberFormat="1" applyFont="1" applyFill="1" applyBorder="1" applyAlignment="1">
      <alignment horizontal="center" vertical="center" wrapText="1" readingOrder="2"/>
    </xf>
    <xf numFmtId="3" fontId="0" fillId="2" borderId="1" xfId="0" applyNumberFormat="1" applyFont="1" applyFill="1" applyBorder="1" applyAlignment="1">
      <alignment horizontal="center" vertical="center" wrapText="1" readingOrder="2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readingOrder="2"/>
    </xf>
    <xf numFmtId="165" fontId="0" fillId="2" borderId="1" xfId="0" applyNumberFormat="1" applyFont="1" applyFill="1" applyBorder="1" applyAlignment="1">
      <alignment horizontal="center" vertical="center" wrapText="1" readingOrder="2"/>
    </xf>
    <xf numFmtId="4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ont="1" applyFill="1" applyBorder="1" applyAlignment="1">
      <alignment horizontal="center" vertical="center" wrapText="1"/>
    </xf>
    <xf numFmtId="165" fontId="0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workbookViewId="0">
      <selection sqref="A1:P41"/>
    </sheetView>
  </sheetViews>
  <sheetFormatPr defaultRowHeight="14.5" x14ac:dyDescent="0.35"/>
  <sheetData>
    <row r="1" spans="1:16" ht="58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3" t="s">
        <v>13</v>
      </c>
      <c r="O1" s="4" t="s">
        <v>14</v>
      </c>
      <c r="P1" s="3" t="s">
        <v>15</v>
      </c>
    </row>
    <row r="2" spans="1:16" ht="29" x14ac:dyDescent="0.35">
      <c r="A2" s="1">
        <v>1</v>
      </c>
      <c r="B2" s="2" t="s">
        <v>16</v>
      </c>
      <c r="C2" s="6">
        <v>15488000</v>
      </c>
      <c r="D2" s="3">
        <v>1</v>
      </c>
      <c r="E2" s="4" t="s">
        <v>17</v>
      </c>
      <c r="F2" s="7">
        <v>1</v>
      </c>
      <c r="G2" s="3">
        <f>(C2/1.1)*0.92</f>
        <v>12953599.999999998</v>
      </c>
      <c r="H2" s="4" t="s">
        <v>18</v>
      </c>
      <c r="I2" s="4">
        <v>30</v>
      </c>
      <c r="J2" s="3">
        <f t="shared" ref="J2:J11" si="0">G2*I2%</f>
        <v>3886079.9999999991</v>
      </c>
      <c r="K2" s="4"/>
      <c r="L2" s="5"/>
      <c r="M2" s="3">
        <f>G2*L2%</f>
        <v>0</v>
      </c>
      <c r="N2" s="3"/>
      <c r="O2" s="3"/>
      <c r="P2" s="3">
        <f>G2*O2%</f>
        <v>0</v>
      </c>
    </row>
    <row r="3" spans="1:16" ht="29" x14ac:dyDescent="0.35">
      <c r="A3" s="1">
        <v>2</v>
      </c>
      <c r="B3" s="2" t="s">
        <v>19</v>
      </c>
      <c r="C3" s="6">
        <v>48400000</v>
      </c>
      <c r="D3" s="3">
        <v>6</v>
      </c>
      <c r="E3" s="4" t="s">
        <v>17</v>
      </c>
      <c r="F3" s="7">
        <v>1</v>
      </c>
      <c r="G3" s="3">
        <f t="shared" ref="G3:G31" si="1">(C3/1.1)*0.92</f>
        <v>40480000</v>
      </c>
      <c r="H3" s="4" t="s">
        <v>20</v>
      </c>
      <c r="I3" s="4">
        <v>20</v>
      </c>
      <c r="J3" s="3">
        <f t="shared" si="0"/>
        <v>8096000</v>
      </c>
      <c r="K3" s="4"/>
      <c r="L3" s="5"/>
      <c r="M3" s="3">
        <f t="shared" ref="M3:M31" si="2">G3*L3%</f>
        <v>0</v>
      </c>
      <c r="N3" s="3"/>
      <c r="O3" s="3"/>
      <c r="P3" s="3">
        <f t="shared" ref="P3:P31" si="3">G3*O3%</f>
        <v>0</v>
      </c>
    </row>
    <row r="4" spans="1:16" ht="29" x14ac:dyDescent="0.35">
      <c r="A4" s="1">
        <v>3</v>
      </c>
      <c r="B4" s="2" t="s">
        <v>21</v>
      </c>
      <c r="C4" s="6">
        <v>93852500</v>
      </c>
      <c r="D4" s="3">
        <v>35</v>
      </c>
      <c r="E4" s="4" t="s">
        <v>17</v>
      </c>
      <c r="F4" s="7">
        <v>1</v>
      </c>
      <c r="G4" s="3">
        <f t="shared" si="1"/>
        <v>78494818.181818172</v>
      </c>
      <c r="H4" s="4" t="s">
        <v>22</v>
      </c>
      <c r="I4" s="4">
        <v>27.18</v>
      </c>
      <c r="J4" s="3">
        <f t="shared" si="0"/>
        <v>21334891.581818178</v>
      </c>
      <c r="K4" s="4"/>
      <c r="L4" s="5"/>
      <c r="M4" s="3">
        <f t="shared" si="2"/>
        <v>0</v>
      </c>
      <c r="N4" s="3"/>
      <c r="O4" s="3"/>
      <c r="P4" s="3">
        <f t="shared" si="3"/>
        <v>0</v>
      </c>
    </row>
    <row r="5" spans="1:16" ht="29" x14ac:dyDescent="0.35">
      <c r="A5" s="1">
        <v>4</v>
      </c>
      <c r="B5" s="2" t="s">
        <v>23</v>
      </c>
      <c r="C5" s="6">
        <v>92400000</v>
      </c>
      <c r="D5" s="3">
        <v>30</v>
      </c>
      <c r="E5" s="4" t="s">
        <v>17</v>
      </c>
      <c r="F5" s="7">
        <v>1</v>
      </c>
      <c r="G5" s="3">
        <f t="shared" si="1"/>
        <v>77280000</v>
      </c>
      <c r="H5" s="4" t="s">
        <v>24</v>
      </c>
      <c r="I5" s="4">
        <v>12.42</v>
      </c>
      <c r="J5" s="3">
        <f t="shared" si="0"/>
        <v>9598176</v>
      </c>
      <c r="K5" s="4" t="s">
        <v>25</v>
      </c>
      <c r="L5" s="8">
        <v>3.1</v>
      </c>
      <c r="M5" s="3">
        <f t="shared" si="2"/>
        <v>2395680</v>
      </c>
      <c r="N5" s="3"/>
      <c r="O5" s="3"/>
      <c r="P5" s="3">
        <f t="shared" si="3"/>
        <v>0</v>
      </c>
    </row>
    <row r="6" spans="1:16" ht="29" x14ac:dyDescent="0.35">
      <c r="A6" s="1">
        <v>5</v>
      </c>
      <c r="B6" s="2" t="s">
        <v>26</v>
      </c>
      <c r="C6" s="6">
        <v>67437333</v>
      </c>
      <c r="D6" s="3">
        <v>10</v>
      </c>
      <c r="E6" s="4" t="s">
        <v>17</v>
      </c>
      <c r="F6" s="7">
        <v>1</v>
      </c>
      <c r="G6" s="3">
        <f t="shared" si="1"/>
        <v>56402133.054545455</v>
      </c>
      <c r="H6" s="4" t="s">
        <v>27</v>
      </c>
      <c r="I6" s="4">
        <v>20</v>
      </c>
      <c r="J6" s="3">
        <f t="shared" si="0"/>
        <v>11280426.610909091</v>
      </c>
      <c r="K6" s="4"/>
      <c r="L6" s="5"/>
      <c r="M6" s="3">
        <f t="shared" si="2"/>
        <v>0</v>
      </c>
      <c r="N6" s="3"/>
      <c r="O6" s="3"/>
      <c r="P6" s="3">
        <f t="shared" si="3"/>
        <v>0</v>
      </c>
    </row>
    <row r="7" spans="1:16" ht="29" x14ac:dyDescent="0.35">
      <c r="A7" s="1">
        <v>6</v>
      </c>
      <c r="B7" s="2" t="s">
        <v>28</v>
      </c>
      <c r="C7" s="6">
        <v>41745000</v>
      </c>
      <c r="D7" s="3">
        <v>10</v>
      </c>
      <c r="E7" s="4" t="s">
        <v>17</v>
      </c>
      <c r="F7" s="7">
        <v>1</v>
      </c>
      <c r="G7" s="3">
        <f t="shared" si="1"/>
        <v>34914000</v>
      </c>
      <c r="H7" s="4" t="s">
        <v>27</v>
      </c>
      <c r="I7" s="4">
        <v>36.24</v>
      </c>
      <c r="J7" s="3">
        <f t="shared" si="0"/>
        <v>12652833.6</v>
      </c>
      <c r="K7" s="4"/>
      <c r="L7" s="5"/>
      <c r="M7" s="3">
        <f t="shared" si="2"/>
        <v>0</v>
      </c>
      <c r="N7" s="3"/>
      <c r="O7" s="3"/>
      <c r="P7" s="3">
        <f t="shared" si="3"/>
        <v>0</v>
      </c>
    </row>
    <row r="8" spans="1:16" ht="29" x14ac:dyDescent="0.35">
      <c r="A8" s="1">
        <v>7</v>
      </c>
      <c r="B8" s="2" t="s">
        <v>29</v>
      </c>
      <c r="C8" s="3">
        <v>2956800</v>
      </c>
      <c r="D8" s="3">
        <v>0</v>
      </c>
      <c r="E8" s="4" t="s">
        <v>17</v>
      </c>
      <c r="F8" s="7">
        <v>1</v>
      </c>
      <c r="G8" s="3">
        <f t="shared" si="1"/>
        <v>2472960</v>
      </c>
      <c r="H8" s="4" t="s">
        <v>30</v>
      </c>
      <c r="I8" s="4">
        <v>10</v>
      </c>
      <c r="J8" s="3">
        <f t="shared" si="0"/>
        <v>247296</v>
      </c>
      <c r="K8" s="4"/>
      <c r="L8" s="5"/>
      <c r="M8" s="3">
        <f t="shared" si="2"/>
        <v>0</v>
      </c>
      <c r="N8" s="3"/>
      <c r="O8" s="3"/>
      <c r="P8" s="3">
        <f t="shared" si="3"/>
        <v>0</v>
      </c>
    </row>
    <row r="9" spans="1:16" ht="29" x14ac:dyDescent="0.35">
      <c r="A9" s="1">
        <v>8</v>
      </c>
      <c r="B9" s="2" t="s">
        <v>31</v>
      </c>
      <c r="C9" s="6">
        <v>114496782</v>
      </c>
      <c r="D9" s="3">
        <v>0</v>
      </c>
      <c r="E9" s="4" t="s">
        <v>17</v>
      </c>
      <c r="F9" s="7">
        <v>1</v>
      </c>
      <c r="G9" s="3">
        <f t="shared" si="1"/>
        <v>95760944.945454538</v>
      </c>
      <c r="H9" s="4" t="s">
        <v>30</v>
      </c>
      <c r="I9" s="4">
        <v>10</v>
      </c>
      <c r="J9" s="3">
        <f t="shared" si="0"/>
        <v>9576094.4945454542</v>
      </c>
      <c r="K9" s="4"/>
      <c r="L9" s="5"/>
      <c r="M9" s="3">
        <f t="shared" si="2"/>
        <v>0</v>
      </c>
      <c r="N9" s="3"/>
      <c r="O9" s="3"/>
      <c r="P9" s="3">
        <f t="shared" si="3"/>
        <v>0</v>
      </c>
    </row>
    <row r="10" spans="1:16" ht="29" x14ac:dyDescent="0.35">
      <c r="A10" s="1">
        <v>9</v>
      </c>
      <c r="B10" s="2" t="s">
        <v>32</v>
      </c>
      <c r="C10" s="6">
        <v>4840000</v>
      </c>
      <c r="D10" s="3">
        <v>1</v>
      </c>
      <c r="E10" s="4" t="s">
        <v>17</v>
      </c>
      <c r="F10" s="7">
        <v>1</v>
      </c>
      <c r="G10" s="3">
        <f t="shared" si="1"/>
        <v>4048000</v>
      </c>
      <c r="H10" s="4" t="s">
        <v>30</v>
      </c>
      <c r="I10" s="4">
        <v>10</v>
      </c>
      <c r="J10" s="3">
        <f>G10*I10%</f>
        <v>404800</v>
      </c>
      <c r="K10" s="4"/>
      <c r="L10" s="5"/>
      <c r="M10" s="3">
        <f t="shared" si="2"/>
        <v>0</v>
      </c>
      <c r="N10" s="3"/>
      <c r="O10" s="3"/>
      <c r="P10" s="3">
        <f t="shared" si="3"/>
        <v>0</v>
      </c>
    </row>
    <row r="11" spans="1:16" ht="29" x14ac:dyDescent="0.35">
      <c r="A11" s="1">
        <v>10</v>
      </c>
      <c r="B11" s="1" t="s">
        <v>33</v>
      </c>
      <c r="C11" s="6">
        <v>12076688</v>
      </c>
      <c r="D11" s="9">
        <v>2</v>
      </c>
      <c r="E11" s="4" t="s">
        <v>17</v>
      </c>
      <c r="F11" s="10">
        <v>1</v>
      </c>
      <c r="G11" s="3">
        <f t="shared" si="1"/>
        <v>10100502.69090909</v>
      </c>
      <c r="H11" s="10" t="s">
        <v>34</v>
      </c>
      <c r="I11" s="11">
        <v>50.92</v>
      </c>
      <c r="J11" s="3">
        <f t="shared" si="0"/>
        <v>5143175.970210908</v>
      </c>
      <c r="K11" s="10"/>
      <c r="L11" s="11"/>
      <c r="M11" s="3">
        <f t="shared" si="2"/>
        <v>0</v>
      </c>
      <c r="N11" s="10"/>
      <c r="O11" s="10"/>
      <c r="P11" s="3">
        <f t="shared" si="3"/>
        <v>0</v>
      </c>
    </row>
    <row r="12" spans="1:16" ht="29" x14ac:dyDescent="0.35">
      <c r="A12" s="1">
        <v>11</v>
      </c>
      <c r="B12" s="1" t="s">
        <v>35</v>
      </c>
      <c r="C12" s="3"/>
      <c r="D12" s="9">
        <v>0</v>
      </c>
      <c r="E12" s="4" t="s">
        <v>17</v>
      </c>
      <c r="F12" s="10">
        <v>1</v>
      </c>
      <c r="G12" s="3">
        <f t="shared" si="1"/>
        <v>0</v>
      </c>
      <c r="H12" s="10" t="s">
        <v>36</v>
      </c>
      <c r="I12" s="11"/>
      <c r="J12" s="9">
        <v>6000000</v>
      </c>
      <c r="K12" s="10"/>
      <c r="L12" s="11"/>
      <c r="M12" s="3">
        <f t="shared" si="2"/>
        <v>0</v>
      </c>
      <c r="N12" s="10"/>
      <c r="O12" s="10"/>
      <c r="P12" s="3">
        <f t="shared" si="3"/>
        <v>0</v>
      </c>
    </row>
    <row r="13" spans="1:16" ht="29" x14ac:dyDescent="0.35">
      <c r="A13" s="1">
        <v>12</v>
      </c>
      <c r="B13" s="1" t="s">
        <v>37</v>
      </c>
      <c r="C13" s="6">
        <v>64864800</v>
      </c>
      <c r="D13" s="9">
        <v>27</v>
      </c>
      <c r="E13" s="4" t="s">
        <v>17</v>
      </c>
      <c r="F13" s="10">
        <v>1</v>
      </c>
      <c r="G13" s="3">
        <f t="shared" si="1"/>
        <v>54250559.999999993</v>
      </c>
      <c r="H13" s="10" t="s">
        <v>38</v>
      </c>
      <c r="I13" s="11">
        <v>32.21</v>
      </c>
      <c r="J13" s="9">
        <f t="shared" ref="J13:J38" si="4">G13*I13%</f>
        <v>17474105.375999998</v>
      </c>
      <c r="K13" s="10"/>
      <c r="L13" s="11"/>
      <c r="M13" s="3">
        <f t="shared" si="2"/>
        <v>0</v>
      </c>
      <c r="N13" s="10"/>
      <c r="O13" s="10"/>
      <c r="P13" s="3">
        <f t="shared" si="3"/>
        <v>0</v>
      </c>
    </row>
    <row r="14" spans="1:16" ht="29" x14ac:dyDescent="0.35">
      <c r="A14" s="1">
        <v>13</v>
      </c>
      <c r="B14" s="1" t="s">
        <v>39</v>
      </c>
      <c r="C14" s="6">
        <v>8712000</v>
      </c>
      <c r="D14" s="9">
        <v>2</v>
      </c>
      <c r="E14" s="4" t="s">
        <v>17</v>
      </c>
      <c r="F14" s="10">
        <v>1</v>
      </c>
      <c r="G14" s="3">
        <f t="shared" si="1"/>
        <v>7286399.9999999991</v>
      </c>
      <c r="H14" s="10" t="s">
        <v>40</v>
      </c>
      <c r="I14" s="11">
        <v>18.12</v>
      </c>
      <c r="J14" s="9">
        <f t="shared" si="4"/>
        <v>1320295.68</v>
      </c>
      <c r="K14" s="10"/>
      <c r="L14" s="11"/>
      <c r="M14" s="3">
        <f t="shared" si="2"/>
        <v>0</v>
      </c>
      <c r="N14" s="10"/>
      <c r="O14" s="10"/>
      <c r="P14" s="3">
        <f t="shared" si="3"/>
        <v>0</v>
      </c>
    </row>
    <row r="15" spans="1:16" ht="29" x14ac:dyDescent="0.35">
      <c r="A15" s="1">
        <v>14</v>
      </c>
      <c r="B15" s="1" t="s">
        <v>41</v>
      </c>
      <c r="C15" s="6">
        <v>153123740</v>
      </c>
      <c r="D15" s="9">
        <v>2</v>
      </c>
      <c r="E15" s="4" t="s">
        <v>17</v>
      </c>
      <c r="F15" s="10">
        <v>1</v>
      </c>
      <c r="G15" s="3">
        <f t="shared" si="1"/>
        <v>128067128</v>
      </c>
      <c r="H15" s="10" t="s">
        <v>38</v>
      </c>
      <c r="I15" s="11">
        <v>9.2899999999999991</v>
      </c>
      <c r="J15" s="9">
        <f t="shared" si="4"/>
        <v>11897436.191199999</v>
      </c>
      <c r="K15" s="10"/>
      <c r="L15" s="11"/>
      <c r="M15" s="3">
        <f t="shared" si="2"/>
        <v>0</v>
      </c>
      <c r="N15" s="10"/>
      <c r="O15" s="10"/>
      <c r="P15" s="3">
        <f t="shared" si="3"/>
        <v>0</v>
      </c>
    </row>
    <row r="16" spans="1:16" ht="29" x14ac:dyDescent="0.35">
      <c r="A16" s="1">
        <v>15</v>
      </c>
      <c r="B16" s="1" t="s">
        <v>42</v>
      </c>
      <c r="C16" s="6">
        <v>34234126</v>
      </c>
      <c r="D16" s="9">
        <v>0</v>
      </c>
      <c r="E16" s="4" t="s">
        <v>17</v>
      </c>
      <c r="F16" s="10">
        <v>1</v>
      </c>
      <c r="G16" s="3">
        <f t="shared" si="1"/>
        <v>28632178.109090909</v>
      </c>
      <c r="H16" s="10" t="s">
        <v>43</v>
      </c>
      <c r="I16" s="12">
        <v>50</v>
      </c>
      <c r="J16" s="9">
        <f t="shared" si="4"/>
        <v>14316089.054545455</v>
      </c>
      <c r="K16" s="10"/>
      <c r="L16" s="11"/>
      <c r="M16" s="3">
        <f t="shared" si="2"/>
        <v>0</v>
      </c>
      <c r="N16" s="10"/>
      <c r="O16" s="10"/>
      <c r="P16" s="3">
        <f t="shared" si="3"/>
        <v>0</v>
      </c>
    </row>
    <row r="17" spans="1:16" ht="29" x14ac:dyDescent="0.35">
      <c r="A17" s="1">
        <v>16</v>
      </c>
      <c r="B17" s="1" t="s">
        <v>44</v>
      </c>
      <c r="C17" s="6">
        <v>15396150</v>
      </c>
      <c r="D17" s="9">
        <v>3</v>
      </c>
      <c r="E17" s="4" t="s">
        <v>17</v>
      </c>
      <c r="F17" s="10">
        <v>1</v>
      </c>
      <c r="G17" s="3">
        <f t="shared" si="1"/>
        <v>12876779.999999998</v>
      </c>
      <c r="H17" s="10" t="s">
        <v>45</v>
      </c>
      <c r="I17" s="12">
        <v>25</v>
      </c>
      <c r="J17" s="9">
        <f t="shared" si="4"/>
        <v>3219194.9999999995</v>
      </c>
      <c r="K17" s="10" t="s">
        <v>34</v>
      </c>
      <c r="L17" s="13">
        <v>2.8</v>
      </c>
      <c r="M17" s="3">
        <f t="shared" si="2"/>
        <v>360549.83999999991</v>
      </c>
      <c r="N17" s="9"/>
      <c r="O17" s="9"/>
      <c r="P17" s="3">
        <f t="shared" si="3"/>
        <v>0</v>
      </c>
    </row>
    <row r="18" spans="1:16" ht="29" x14ac:dyDescent="0.35">
      <c r="A18" s="1">
        <v>17</v>
      </c>
      <c r="B18" s="1" t="s">
        <v>46</v>
      </c>
      <c r="C18" s="6">
        <v>18216000</v>
      </c>
      <c r="D18" s="9">
        <v>4</v>
      </c>
      <c r="E18" s="4" t="s">
        <v>17</v>
      </c>
      <c r="F18" s="12">
        <v>1</v>
      </c>
      <c r="G18" s="3">
        <f t="shared" si="1"/>
        <v>15235199.999999998</v>
      </c>
      <c r="H18" s="10" t="s">
        <v>47</v>
      </c>
      <c r="I18" s="11">
        <v>9.07</v>
      </c>
      <c r="J18" s="9">
        <f t="shared" si="4"/>
        <v>1381832.64</v>
      </c>
      <c r="K18" s="10"/>
      <c r="L18" s="11"/>
      <c r="M18" s="3">
        <f t="shared" si="2"/>
        <v>0</v>
      </c>
      <c r="N18" s="9"/>
      <c r="O18" s="9"/>
      <c r="P18" s="3">
        <f t="shared" si="3"/>
        <v>0</v>
      </c>
    </row>
    <row r="19" spans="1:16" ht="29" x14ac:dyDescent="0.35">
      <c r="A19" s="1">
        <v>18</v>
      </c>
      <c r="B19" s="14" t="s">
        <v>48</v>
      </c>
      <c r="C19" s="3">
        <v>44000000</v>
      </c>
      <c r="D19" s="3">
        <v>16</v>
      </c>
      <c r="E19" s="4" t="s">
        <v>17</v>
      </c>
      <c r="F19" s="10">
        <v>1</v>
      </c>
      <c r="G19" s="3">
        <f t="shared" si="1"/>
        <v>36800000</v>
      </c>
      <c r="H19" s="3" t="s">
        <v>49</v>
      </c>
      <c r="I19" s="15">
        <v>10.87</v>
      </c>
      <c r="J19" s="9">
        <f t="shared" si="4"/>
        <v>4000159.9999999995</v>
      </c>
      <c r="K19" s="3"/>
      <c r="L19" s="5"/>
      <c r="M19" s="3">
        <f t="shared" si="2"/>
        <v>0</v>
      </c>
      <c r="N19" s="3"/>
      <c r="O19" s="3"/>
      <c r="P19" s="3">
        <f t="shared" si="3"/>
        <v>0</v>
      </c>
    </row>
    <row r="20" spans="1:16" ht="29" x14ac:dyDescent="0.35">
      <c r="A20" s="1">
        <v>19</v>
      </c>
      <c r="B20" s="14" t="s">
        <v>50</v>
      </c>
      <c r="C20" s="6">
        <v>59155827</v>
      </c>
      <c r="D20" s="3">
        <v>15</v>
      </c>
      <c r="E20" s="4" t="s">
        <v>17</v>
      </c>
      <c r="F20" s="10">
        <v>1</v>
      </c>
      <c r="G20" s="3">
        <f t="shared" si="1"/>
        <v>49475782.581818178</v>
      </c>
      <c r="H20" s="3" t="s">
        <v>51</v>
      </c>
      <c r="I20" s="16">
        <v>17</v>
      </c>
      <c r="J20" s="3">
        <f t="shared" si="4"/>
        <v>8410883.0389090907</v>
      </c>
      <c r="K20" s="3" t="s">
        <v>34</v>
      </c>
      <c r="L20" s="17">
        <v>3</v>
      </c>
      <c r="M20" s="3">
        <f t="shared" si="2"/>
        <v>1484273.4774545452</v>
      </c>
      <c r="N20" s="3"/>
      <c r="O20" s="3"/>
      <c r="P20" s="3">
        <f t="shared" si="3"/>
        <v>0</v>
      </c>
    </row>
    <row r="21" spans="1:16" ht="29" x14ac:dyDescent="0.35">
      <c r="A21" s="1">
        <v>20</v>
      </c>
      <c r="B21" s="14" t="s">
        <v>52</v>
      </c>
      <c r="C21" s="6">
        <v>89760000</v>
      </c>
      <c r="D21" s="3">
        <v>6</v>
      </c>
      <c r="E21" s="4" t="s">
        <v>17</v>
      </c>
      <c r="F21" s="18">
        <v>1</v>
      </c>
      <c r="G21" s="3">
        <f t="shared" si="1"/>
        <v>75072000</v>
      </c>
      <c r="H21" s="3" t="s">
        <v>53</v>
      </c>
      <c r="I21" s="15">
        <v>10.85</v>
      </c>
      <c r="J21" s="3">
        <f t="shared" si="4"/>
        <v>8145312</v>
      </c>
      <c r="K21" s="3" t="s">
        <v>34</v>
      </c>
      <c r="L21" s="5">
        <v>3.43</v>
      </c>
      <c r="M21" s="3">
        <f t="shared" si="2"/>
        <v>2574969.6</v>
      </c>
      <c r="N21" s="10" t="s">
        <v>54</v>
      </c>
      <c r="O21" s="10">
        <v>8.57</v>
      </c>
      <c r="P21" s="3">
        <f t="shared" si="3"/>
        <v>6433670.3999999994</v>
      </c>
    </row>
    <row r="22" spans="1:16" ht="29" x14ac:dyDescent="0.35">
      <c r="A22" s="1">
        <v>21</v>
      </c>
      <c r="B22" s="14" t="s">
        <v>55</v>
      </c>
      <c r="C22" s="6">
        <v>127160000</v>
      </c>
      <c r="D22" s="3">
        <v>6</v>
      </c>
      <c r="E22" s="4" t="s">
        <v>17</v>
      </c>
      <c r="F22" s="18">
        <v>1</v>
      </c>
      <c r="G22" s="3">
        <f t="shared" si="1"/>
        <v>106351999.99999999</v>
      </c>
      <c r="H22" s="3" t="s">
        <v>56</v>
      </c>
      <c r="I22" s="19">
        <v>5.5460000000000003</v>
      </c>
      <c r="J22" s="3">
        <f t="shared" si="4"/>
        <v>5898281.919999999</v>
      </c>
      <c r="K22" s="3"/>
      <c r="L22" s="5"/>
      <c r="M22" s="3">
        <f t="shared" si="2"/>
        <v>0</v>
      </c>
      <c r="N22" s="10"/>
      <c r="O22" s="10"/>
      <c r="P22" s="3">
        <f t="shared" si="3"/>
        <v>0</v>
      </c>
    </row>
    <row r="23" spans="1:16" ht="29" x14ac:dyDescent="0.35">
      <c r="A23" s="1">
        <v>22</v>
      </c>
      <c r="B23" s="14" t="s">
        <v>57</v>
      </c>
      <c r="C23" s="6">
        <v>18700000</v>
      </c>
      <c r="D23" s="3">
        <v>0</v>
      </c>
      <c r="E23" s="4" t="s">
        <v>17</v>
      </c>
      <c r="F23" s="10">
        <v>1</v>
      </c>
      <c r="G23" s="3">
        <f t="shared" si="1"/>
        <v>15640000</v>
      </c>
      <c r="H23" s="3" t="s">
        <v>53</v>
      </c>
      <c r="I23" s="19">
        <v>36.231999999999999</v>
      </c>
      <c r="J23" s="3">
        <f t="shared" si="4"/>
        <v>5666684.7999999998</v>
      </c>
      <c r="K23" s="3" t="s">
        <v>34</v>
      </c>
      <c r="L23" s="5">
        <v>7.25</v>
      </c>
      <c r="M23" s="3">
        <f t="shared" si="2"/>
        <v>1133900</v>
      </c>
      <c r="N23" s="3"/>
      <c r="O23" s="3"/>
      <c r="P23" s="3">
        <f t="shared" si="3"/>
        <v>0</v>
      </c>
    </row>
    <row r="24" spans="1:16" ht="29" x14ac:dyDescent="0.35">
      <c r="A24" s="1">
        <v>23</v>
      </c>
      <c r="B24" s="14" t="s">
        <v>58</v>
      </c>
      <c r="C24" s="6">
        <v>14520000</v>
      </c>
      <c r="D24" s="3">
        <v>4</v>
      </c>
      <c r="E24" s="4" t="s">
        <v>17</v>
      </c>
      <c r="F24" s="18">
        <v>1</v>
      </c>
      <c r="G24" s="3">
        <f t="shared" si="1"/>
        <v>12143999.999999998</v>
      </c>
      <c r="H24" s="3" t="s">
        <v>38</v>
      </c>
      <c r="I24" s="15">
        <v>6.6</v>
      </c>
      <c r="J24" s="3">
        <f t="shared" si="4"/>
        <v>801503.99999999988</v>
      </c>
      <c r="K24" s="3" t="s">
        <v>34</v>
      </c>
      <c r="L24" s="8">
        <v>3.3</v>
      </c>
      <c r="M24" s="3">
        <f t="shared" si="2"/>
        <v>400751.99999999994</v>
      </c>
      <c r="N24" s="3"/>
      <c r="O24" s="3"/>
      <c r="P24" s="3">
        <f t="shared" si="3"/>
        <v>0</v>
      </c>
    </row>
    <row r="25" spans="1:16" ht="29" x14ac:dyDescent="0.35">
      <c r="A25" s="1">
        <v>24</v>
      </c>
      <c r="B25" s="14" t="s">
        <v>59</v>
      </c>
      <c r="C25" s="6">
        <v>18700000</v>
      </c>
      <c r="D25" s="3">
        <v>0</v>
      </c>
      <c r="E25" s="4" t="s">
        <v>17</v>
      </c>
      <c r="F25" s="18">
        <v>1</v>
      </c>
      <c r="G25" s="3">
        <f t="shared" si="1"/>
        <v>15640000</v>
      </c>
      <c r="H25" s="3" t="s">
        <v>60</v>
      </c>
      <c r="I25" s="15">
        <v>50</v>
      </c>
      <c r="J25" s="3">
        <f t="shared" si="4"/>
        <v>7820000</v>
      </c>
      <c r="K25" s="3"/>
      <c r="L25" s="5"/>
      <c r="M25" s="3">
        <f t="shared" si="2"/>
        <v>0</v>
      </c>
      <c r="N25" s="3"/>
      <c r="O25" s="3"/>
      <c r="P25" s="3">
        <f t="shared" si="3"/>
        <v>0</v>
      </c>
    </row>
    <row r="26" spans="1:16" ht="29" x14ac:dyDescent="0.35">
      <c r="A26" s="1">
        <v>25</v>
      </c>
      <c r="B26" s="2" t="s">
        <v>61</v>
      </c>
      <c r="C26" s="6">
        <v>18700000</v>
      </c>
      <c r="D26" s="3">
        <v>0</v>
      </c>
      <c r="E26" s="4" t="s">
        <v>17</v>
      </c>
      <c r="F26" s="7">
        <v>1</v>
      </c>
      <c r="G26" s="3">
        <f>(C26/1.1)*0.92</f>
        <v>15640000</v>
      </c>
      <c r="H26" s="4" t="s">
        <v>62</v>
      </c>
      <c r="I26" s="5">
        <v>36.24</v>
      </c>
      <c r="J26" s="3">
        <f>G26*I26%</f>
        <v>5667936</v>
      </c>
      <c r="K26" s="4"/>
      <c r="L26" s="5"/>
      <c r="M26" s="3">
        <v>0</v>
      </c>
      <c r="N26" s="3"/>
      <c r="O26" s="3"/>
      <c r="P26" s="3">
        <v>0</v>
      </c>
    </row>
    <row r="27" spans="1:16" ht="29" x14ac:dyDescent="0.35">
      <c r="A27" s="1">
        <v>26</v>
      </c>
      <c r="B27" s="14" t="s">
        <v>63</v>
      </c>
      <c r="C27" s="6">
        <v>12390400</v>
      </c>
      <c r="D27" s="3">
        <v>1</v>
      </c>
      <c r="E27" s="4" t="s">
        <v>17</v>
      </c>
      <c r="F27" s="18">
        <v>1</v>
      </c>
      <c r="G27" s="3">
        <f t="shared" si="1"/>
        <v>10362880</v>
      </c>
      <c r="H27" s="3" t="s">
        <v>64</v>
      </c>
      <c r="I27" s="15">
        <v>40</v>
      </c>
      <c r="J27" s="3">
        <f t="shared" si="4"/>
        <v>4145152</v>
      </c>
      <c r="K27" s="3" t="s">
        <v>34</v>
      </c>
      <c r="L27" s="17">
        <v>5</v>
      </c>
      <c r="M27" s="3">
        <f t="shared" si="2"/>
        <v>518144</v>
      </c>
      <c r="N27" s="3" t="s">
        <v>65</v>
      </c>
      <c r="O27" s="3">
        <v>5</v>
      </c>
      <c r="P27" s="3">
        <f t="shared" si="3"/>
        <v>518144</v>
      </c>
    </row>
    <row r="28" spans="1:16" ht="58" x14ac:dyDescent="0.35">
      <c r="A28" s="1">
        <v>27</v>
      </c>
      <c r="B28" s="14" t="s">
        <v>66</v>
      </c>
      <c r="C28" s="6">
        <v>39204000</v>
      </c>
      <c r="D28" s="3">
        <v>5</v>
      </c>
      <c r="E28" s="4" t="s">
        <v>17</v>
      </c>
      <c r="F28" s="18">
        <v>1</v>
      </c>
      <c r="G28" s="3">
        <f t="shared" si="1"/>
        <v>32788800</v>
      </c>
      <c r="H28" s="3" t="s">
        <v>67</v>
      </c>
      <c r="I28" s="15">
        <v>10</v>
      </c>
      <c r="J28" s="3">
        <f t="shared" si="4"/>
        <v>3278880</v>
      </c>
      <c r="K28" s="3" t="s">
        <v>68</v>
      </c>
      <c r="L28" s="17">
        <v>20</v>
      </c>
      <c r="M28" s="3">
        <f t="shared" si="2"/>
        <v>6557760</v>
      </c>
      <c r="N28" s="3" t="s">
        <v>34</v>
      </c>
      <c r="O28" s="3">
        <v>5</v>
      </c>
      <c r="P28" s="3">
        <f t="shared" si="3"/>
        <v>1639440</v>
      </c>
    </row>
    <row r="29" spans="1:16" ht="29" x14ac:dyDescent="0.35">
      <c r="A29" s="1">
        <v>28</v>
      </c>
      <c r="B29" s="14" t="s">
        <v>69</v>
      </c>
      <c r="C29" s="6">
        <v>18700000</v>
      </c>
      <c r="D29" s="3">
        <v>0</v>
      </c>
      <c r="E29" s="4" t="s">
        <v>17</v>
      </c>
      <c r="F29" s="18">
        <v>1</v>
      </c>
      <c r="G29" s="3">
        <f t="shared" si="1"/>
        <v>15640000</v>
      </c>
      <c r="H29" s="3" t="s">
        <v>70</v>
      </c>
      <c r="I29" s="15">
        <v>54.35</v>
      </c>
      <c r="J29" s="3">
        <f t="shared" si="4"/>
        <v>8500340</v>
      </c>
      <c r="K29" s="3"/>
      <c r="L29" s="5"/>
      <c r="M29" s="3">
        <f t="shared" si="2"/>
        <v>0</v>
      </c>
      <c r="N29" s="3"/>
      <c r="O29" s="3"/>
      <c r="P29" s="3">
        <f t="shared" si="3"/>
        <v>0</v>
      </c>
    </row>
    <row r="30" spans="1:16" ht="29" x14ac:dyDescent="0.35">
      <c r="A30" s="1">
        <v>29</v>
      </c>
      <c r="B30" s="14" t="s">
        <v>71</v>
      </c>
      <c r="C30" s="6">
        <v>75350000</v>
      </c>
      <c r="D30" s="3">
        <v>40</v>
      </c>
      <c r="E30" s="4" t="s">
        <v>17</v>
      </c>
      <c r="F30" s="18">
        <v>1</v>
      </c>
      <c r="G30" s="3">
        <f t="shared" si="1"/>
        <v>63020000</v>
      </c>
      <c r="H30" s="3" t="s">
        <v>70</v>
      </c>
      <c r="I30" s="19">
        <v>4.1280000000000001</v>
      </c>
      <c r="J30" s="3">
        <f t="shared" si="4"/>
        <v>2601465.6</v>
      </c>
      <c r="K30" s="3" t="s">
        <v>72</v>
      </c>
      <c r="L30" s="5">
        <v>8.2200000000000006</v>
      </c>
      <c r="M30" s="3">
        <f t="shared" si="2"/>
        <v>5180244.0000000009</v>
      </c>
      <c r="N30" s="3"/>
      <c r="O30" s="3"/>
      <c r="P30" s="3">
        <f t="shared" si="3"/>
        <v>0</v>
      </c>
    </row>
    <row r="31" spans="1:16" ht="29" x14ac:dyDescent="0.35">
      <c r="A31" s="1">
        <v>30</v>
      </c>
      <c r="B31" s="14" t="s">
        <v>73</v>
      </c>
      <c r="C31" s="6">
        <v>115500000</v>
      </c>
      <c r="D31" s="3">
        <v>30</v>
      </c>
      <c r="E31" s="4" t="s">
        <v>17</v>
      </c>
      <c r="F31" s="18">
        <v>1</v>
      </c>
      <c r="G31" s="3">
        <f t="shared" si="1"/>
        <v>96599999.999999985</v>
      </c>
      <c r="H31" s="3" t="s">
        <v>74</v>
      </c>
      <c r="I31" s="15">
        <v>21.196000000000002</v>
      </c>
      <c r="J31" s="3">
        <f t="shared" si="4"/>
        <v>20475335.999999996</v>
      </c>
      <c r="K31" s="3" t="s">
        <v>49</v>
      </c>
      <c r="L31" s="20">
        <v>3.8050000000000002</v>
      </c>
      <c r="M31" s="3">
        <f t="shared" si="2"/>
        <v>3675629.9999999995</v>
      </c>
      <c r="N31" s="3"/>
      <c r="O31" s="3"/>
      <c r="P31" s="3">
        <f t="shared" si="3"/>
        <v>0</v>
      </c>
    </row>
    <row r="32" spans="1:16" ht="43.5" x14ac:dyDescent="0.35">
      <c r="A32" s="1">
        <v>31</v>
      </c>
      <c r="B32" s="2" t="s">
        <v>75</v>
      </c>
      <c r="C32" s="6">
        <v>85800000</v>
      </c>
      <c r="D32" s="3">
        <v>30</v>
      </c>
      <c r="E32" s="4" t="s">
        <v>17</v>
      </c>
      <c r="F32" s="7">
        <v>1</v>
      </c>
      <c r="G32" s="3">
        <f>(C32/1.1)*0.92</f>
        <v>71760000</v>
      </c>
      <c r="H32" s="4" t="s">
        <v>76</v>
      </c>
      <c r="I32" s="4">
        <v>9.8810000000000002</v>
      </c>
      <c r="J32" s="3">
        <f t="shared" si="4"/>
        <v>7090605.6000000006</v>
      </c>
      <c r="K32" s="4" t="s">
        <v>77</v>
      </c>
      <c r="L32" s="21">
        <v>8.2349999999999994</v>
      </c>
      <c r="M32" s="3">
        <f>G32*L32%</f>
        <v>5909435.9999999991</v>
      </c>
      <c r="N32" s="3" t="s">
        <v>25</v>
      </c>
      <c r="O32" s="22">
        <v>5.7640000000000002</v>
      </c>
      <c r="P32" s="3">
        <f>G32*O32%</f>
        <v>4136246.4000000004</v>
      </c>
    </row>
    <row r="33" spans="1:16" ht="29" x14ac:dyDescent="0.35">
      <c r="A33" s="1">
        <v>32</v>
      </c>
      <c r="B33" s="2" t="s">
        <v>78</v>
      </c>
      <c r="C33" s="6">
        <v>18700000</v>
      </c>
      <c r="D33" s="3">
        <v>0</v>
      </c>
      <c r="E33" s="4" t="s">
        <v>17</v>
      </c>
      <c r="F33" s="7">
        <v>1</v>
      </c>
      <c r="G33" s="3">
        <f>(C33/1.1)*0.92</f>
        <v>15640000</v>
      </c>
      <c r="H33" s="4" t="s">
        <v>25</v>
      </c>
      <c r="I33" s="4">
        <v>50</v>
      </c>
      <c r="J33" s="3">
        <f t="shared" si="4"/>
        <v>7820000</v>
      </c>
      <c r="K33" s="4"/>
      <c r="L33" s="5"/>
      <c r="M33" s="3">
        <v>0</v>
      </c>
      <c r="N33" s="3"/>
      <c r="O33" s="3"/>
      <c r="P33" s="3">
        <v>0</v>
      </c>
    </row>
    <row r="34" spans="1:16" ht="58" x14ac:dyDescent="0.35">
      <c r="A34" s="1">
        <v>33</v>
      </c>
      <c r="B34" s="2" t="s">
        <v>79</v>
      </c>
      <c r="C34" s="6">
        <v>15488000</v>
      </c>
      <c r="D34" s="3">
        <v>1</v>
      </c>
      <c r="E34" s="4" t="s">
        <v>17</v>
      </c>
      <c r="F34" s="7">
        <v>1</v>
      </c>
      <c r="G34" s="3">
        <f>(C34/1.1)*0.92</f>
        <v>12953599.999999998</v>
      </c>
      <c r="H34" s="4" t="s">
        <v>62</v>
      </c>
      <c r="I34" s="5">
        <v>24.5</v>
      </c>
      <c r="J34" s="3">
        <f t="shared" si="4"/>
        <v>3173631.9999999995</v>
      </c>
      <c r="K34" s="4" t="s">
        <v>80</v>
      </c>
      <c r="L34" s="21">
        <v>7.7</v>
      </c>
      <c r="M34" s="3">
        <f>G34*L34%</f>
        <v>997427.19999999984</v>
      </c>
      <c r="N34" s="10" t="s">
        <v>81</v>
      </c>
      <c r="O34" s="22">
        <v>2.8</v>
      </c>
      <c r="P34" s="3">
        <f>G34*O34%</f>
        <v>362700.79999999993</v>
      </c>
    </row>
    <row r="35" spans="1:16" ht="29" x14ac:dyDescent="0.35">
      <c r="A35" s="1">
        <v>34</v>
      </c>
      <c r="B35" s="2" t="s">
        <v>82</v>
      </c>
      <c r="C35" s="6">
        <v>19712000</v>
      </c>
      <c r="D35" s="3">
        <v>2</v>
      </c>
      <c r="E35" s="4" t="s">
        <v>17</v>
      </c>
      <c r="F35" s="7">
        <v>1</v>
      </c>
      <c r="G35" s="3">
        <f t="shared" ref="G35:G38" si="5">(C35/1.1)*0.92</f>
        <v>16486400</v>
      </c>
      <c r="H35" s="4" t="s">
        <v>18</v>
      </c>
      <c r="I35" s="4">
        <v>10</v>
      </c>
      <c r="J35" s="3">
        <f t="shared" si="4"/>
        <v>1648640</v>
      </c>
      <c r="K35" s="4"/>
      <c r="L35" s="21"/>
      <c r="M35" s="3">
        <v>0</v>
      </c>
      <c r="N35" s="10"/>
      <c r="O35" s="22"/>
      <c r="P35" s="3">
        <v>0</v>
      </c>
    </row>
    <row r="36" spans="1:16" ht="29" x14ac:dyDescent="0.35">
      <c r="A36" s="1">
        <v>35</v>
      </c>
      <c r="B36" s="2" t="s">
        <v>83</v>
      </c>
      <c r="C36" s="6">
        <v>19712000</v>
      </c>
      <c r="D36" s="3">
        <v>2</v>
      </c>
      <c r="E36" s="4" t="s">
        <v>17</v>
      </c>
      <c r="F36" s="7">
        <v>1</v>
      </c>
      <c r="G36" s="3">
        <f t="shared" si="5"/>
        <v>16486400</v>
      </c>
      <c r="H36" s="4" t="s">
        <v>25</v>
      </c>
      <c r="I36" s="4">
        <v>2.1800000000000002</v>
      </c>
      <c r="J36" s="3">
        <f t="shared" si="4"/>
        <v>359403.52000000002</v>
      </c>
      <c r="K36" s="4"/>
      <c r="L36" s="21"/>
      <c r="M36" s="3">
        <v>0</v>
      </c>
      <c r="N36" s="10"/>
      <c r="O36" s="22"/>
      <c r="P36" s="3">
        <v>0</v>
      </c>
    </row>
    <row r="37" spans="1:16" ht="29" x14ac:dyDescent="0.35">
      <c r="A37" s="1">
        <v>36</v>
      </c>
      <c r="B37" s="2" t="s">
        <v>84</v>
      </c>
      <c r="C37" s="6">
        <v>19712000</v>
      </c>
      <c r="D37" s="3">
        <v>2</v>
      </c>
      <c r="E37" s="4" t="s">
        <v>17</v>
      </c>
      <c r="F37" s="7">
        <v>1</v>
      </c>
      <c r="G37" s="3">
        <f t="shared" si="5"/>
        <v>16486400</v>
      </c>
      <c r="H37" s="4" t="s">
        <v>85</v>
      </c>
      <c r="I37" s="4">
        <v>10</v>
      </c>
      <c r="J37" s="3">
        <f t="shared" si="4"/>
        <v>1648640</v>
      </c>
      <c r="K37" s="4"/>
      <c r="L37" s="21"/>
      <c r="M37" s="3">
        <v>0</v>
      </c>
      <c r="N37" s="10"/>
      <c r="O37" s="22"/>
      <c r="P37" s="3">
        <v>0</v>
      </c>
    </row>
    <row r="38" spans="1:16" ht="29" x14ac:dyDescent="0.35">
      <c r="A38" s="1">
        <v>37</v>
      </c>
      <c r="B38" s="2" t="s">
        <v>86</v>
      </c>
      <c r="C38" s="6">
        <v>19712000</v>
      </c>
      <c r="D38" s="3">
        <v>2</v>
      </c>
      <c r="E38" s="4" t="s">
        <v>17</v>
      </c>
      <c r="F38" s="7">
        <v>1</v>
      </c>
      <c r="G38" s="3">
        <f t="shared" si="5"/>
        <v>16486400</v>
      </c>
      <c r="H38" s="4" t="s">
        <v>85</v>
      </c>
      <c r="I38" s="3">
        <v>10</v>
      </c>
      <c r="J38" s="3">
        <f t="shared" si="4"/>
        <v>1648640</v>
      </c>
      <c r="K38" s="4"/>
      <c r="L38" s="21"/>
      <c r="M38" s="3">
        <v>0</v>
      </c>
      <c r="N38" s="10"/>
      <c r="O38" s="22"/>
      <c r="P38" s="3">
        <v>0</v>
      </c>
    </row>
    <row r="39" spans="1:16" ht="203" x14ac:dyDescent="0.35">
      <c r="A39" s="1">
        <v>38</v>
      </c>
      <c r="B39" s="10" t="s">
        <v>87</v>
      </c>
      <c r="C39" s="6">
        <v>5632000</v>
      </c>
      <c r="D39" s="1" t="s">
        <v>88</v>
      </c>
      <c r="E39" s="4" t="s">
        <v>17</v>
      </c>
      <c r="F39" s="10">
        <v>1</v>
      </c>
      <c r="G39" s="6">
        <f>(C39/1.1)*0.92</f>
        <v>4710400</v>
      </c>
      <c r="H39" s="1" t="s">
        <v>89</v>
      </c>
      <c r="I39" s="1">
        <v>16.984000000000002</v>
      </c>
      <c r="J39" s="6">
        <f>G39*I39%</f>
        <v>800014.33600000013</v>
      </c>
      <c r="K39" s="4"/>
      <c r="L39" s="21"/>
      <c r="M39" s="3"/>
      <c r="N39" s="10"/>
      <c r="O39" s="22"/>
      <c r="P39" s="3"/>
    </row>
    <row r="40" spans="1:16" ht="72.5" x14ac:dyDescent="0.35">
      <c r="A40" s="1"/>
      <c r="B40" s="10" t="s">
        <v>90</v>
      </c>
      <c r="C40" s="23" t="s">
        <v>91</v>
      </c>
      <c r="D40" s="1"/>
      <c r="E40" s="4" t="s">
        <v>17</v>
      </c>
      <c r="F40" s="10">
        <v>1</v>
      </c>
      <c r="G40" s="6"/>
      <c r="H40" s="10" t="s">
        <v>92</v>
      </c>
      <c r="I40" s="1"/>
      <c r="J40" s="6">
        <v>2500000</v>
      </c>
      <c r="K40" s="4"/>
      <c r="L40" s="21"/>
      <c r="M40" s="3"/>
      <c r="N40" s="10"/>
      <c r="O40" s="22"/>
      <c r="P40" s="3"/>
    </row>
    <row r="41" spans="1:16" x14ac:dyDescent="0.35">
      <c r="A41" s="1" t="s">
        <v>93</v>
      </c>
      <c r="B41" s="1"/>
      <c r="C41" s="9"/>
      <c r="D41" s="9">
        <f>SUM(D2:D40)</f>
        <v>295</v>
      </c>
      <c r="E41" s="10"/>
      <c r="F41" s="10"/>
      <c r="G41" s="9">
        <f>SUM(G2:G40)</f>
        <v>1375440267.5636363</v>
      </c>
      <c r="H41" s="10"/>
      <c r="I41" s="10"/>
      <c r="J41" s="9">
        <f>SUM(J2:J40)</f>
        <v>249930239.01413816</v>
      </c>
      <c r="K41" s="10"/>
      <c r="L41" s="11"/>
      <c r="M41" s="9">
        <f>SUM(M2:M40)</f>
        <v>31188766.117454544</v>
      </c>
      <c r="N41" s="9"/>
      <c r="O41" s="9"/>
      <c r="P41" s="9">
        <f>SUM(P2:P40)</f>
        <v>13090201.6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z.mohammadi</dc:creator>
  <cp:lastModifiedBy>z.mohammadi</cp:lastModifiedBy>
  <dcterms:created xsi:type="dcterms:W3CDTF">2025-06-24T10:33:26Z</dcterms:created>
  <dcterms:modified xsi:type="dcterms:W3CDTF">2025-06-24T10:34:08Z</dcterms:modified>
</cp:coreProperties>
</file>