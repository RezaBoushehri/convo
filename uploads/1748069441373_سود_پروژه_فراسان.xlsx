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sour\Desktop\"/>
    </mc:Choice>
  </mc:AlternateContent>
  <xr:revisionPtr revIDLastSave="0" documentId="13_ncr:1_{061980D8-DB9B-4AA7-9C4E-380DBF104B06}" xr6:coauthVersionLast="47" xr6:coauthVersionMax="47" xr10:uidLastSave="{00000000-0000-0000-0000-000000000000}"/>
  <bookViews>
    <workbookView xWindow="-120" yWindow="-120" windowWidth="29040" windowHeight="15840" xr2:uid="{ED62C31F-B2DB-4218-B6EC-2429141103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5" i="1" l="1"/>
  <c r="D35" i="1"/>
  <c r="C35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" i="1"/>
</calcChain>
</file>

<file path=xl/sharedStrings.xml><?xml version="1.0" encoding="utf-8"?>
<sst xmlns="http://schemas.openxmlformats.org/spreadsheetml/2006/main" count="38" uniqueCount="38">
  <si>
    <t xml:space="preserve">ردیف </t>
  </si>
  <si>
    <t xml:space="preserve">کالا </t>
  </si>
  <si>
    <t>قیمت خرید</t>
  </si>
  <si>
    <t>قیمت فروش</t>
  </si>
  <si>
    <t xml:space="preserve">سود </t>
  </si>
  <si>
    <t>محاسبه سود کالا</t>
  </si>
  <si>
    <t xml:space="preserve">کابل شبکهsftp cu nexans cat6 </t>
  </si>
  <si>
    <t>ترانک لگرند با درب  50*105</t>
  </si>
  <si>
    <t xml:space="preserve">سوکت شبکه </t>
  </si>
  <si>
    <t xml:space="preserve">کابل برق 2.5*3 افشان cat cable </t>
  </si>
  <si>
    <t xml:space="preserve">رک 22 یونیت عمق80     foc </t>
  </si>
  <si>
    <t>پچ پنل 24 پورت  ETW</t>
  </si>
  <si>
    <t xml:space="preserve">نگهدارنده کابل </t>
  </si>
  <si>
    <t>blank 1u</t>
  </si>
  <si>
    <t xml:space="preserve">ups 3 KW onlin </t>
  </si>
  <si>
    <t>battry 100A saba</t>
  </si>
  <si>
    <t xml:space="preserve">جعبه باطری </t>
  </si>
  <si>
    <t>لوله فلکسی سایز 21</t>
  </si>
  <si>
    <t>بست لوله فلکسی</t>
  </si>
  <si>
    <t xml:space="preserve">بست زیپی 30 سانتی </t>
  </si>
  <si>
    <t>کم باکس 13*13</t>
  </si>
  <si>
    <t xml:space="preserve">لوله پلی اتیلن pe6  با متالقات </t>
  </si>
  <si>
    <t>جعبه چدنی 10*10</t>
  </si>
  <si>
    <t>کیستون باکس</t>
  </si>
  <si>
    <t>سینی رک</t>
  </si>
  <si>
    <t>پاور ماژول</t>
  </si>
  <si>
    <t>جعبه برق ups</t>
  </si>
  <si>
    <t>پیچ و مهره واشر سایر ملزومات نصب</t>
  </si>
  <si>
    <t>فن رک</t>
  </si>
  <si>
    <t xml:space="preserve">           دوربین هایکویژن                           DS-2DE4225IW  DE(T5)</t>
  </si>
  <si>
    <t xml:space="preserve">   دوربین هایکویژن                                          DS-2CD2666G2-IZS </t>
  </si>
  <si>
    <t xml:space="preserve">   دوربین هایکویژن                                          DS-2CD2063G2-I(U) </t>
  </si>
  <si>
    <t xml:space="preserve">   دوربین هایکویژن                                          DS-2CD2143G2-LI(S)(2U) </t>
  </si>
  <si>
    <t>دستگاه ذخیره ساز32کانال هایکویژنDS-9632NI-M8</t>
  </si>
  <si>
    <t>HDD 10TB WD purple</t>
  </si>
  <si>
    <t>switch cisc WS-2960x-24ps-l</t>
  </si>
  <si>
    <t>mikrotik l009 RM 8p gig</t>
  </si>
  <si>
    <t>lhg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</si>
</sst>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B Nazanin"/>
      <charset val="178"/>
    </font>
    <font>
      <sz val="11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3" fontId="2" fillId="0" borderId="0" xfId="0" applyNumberFormat="1" applyFont="1"/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vertical="center" wrapText="1"/>
    </xf>
    <xf numFmtId="3" fontId="0" fillId="0" borderId="0" xfId="0" applyNumberFormat="1"/>
    <xf numFmtId="3" fontId="1" fillId="0" borderId="3" xfId="0" applyNumberFormat="1" applyFont="1" applyBorder="1" applyAlignment="1">
      <alignment wrapText="1"/>
    </xf>
    <xf numFmtId="3" fontId="1" fillId="0" borderId="3" xfId="0" applyNumberFormat="1" applyFont="1" applyBorder="1" applyAlignment="1">
      <alignment vertical="center" wrapText="1"/>
    </xf>
    <xf numFmtId="3" fontId="1" fillId="0" borderId="3" xfId="0" applyNumberFormat="1" applyFont="1" applyBorder="1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B28C-9180-4F24-9E82-BB0CE2592A88}">
  <dimension ref="A1:E35"/>
  <sheetViews>
    <sheetView rightToLeft="1" tabSelected="1" workbookViewId="0">
      <selection activeCell="H30" sqref="H30"/>
    </sheetView>
  </sheetViews>
  <sheetFormatPr defaultRowHeight="15"/>
  <cols>
    <col min="2" max="2" width="28.5703125" bestFit="1" customWidth="1"/>
    <col min="3" max="4" width="14.42578125" bestFit="1" customWidth="1"/>
    <col min="5" max="5" width="12.7109375" bestFit="1" customWidth="1"/>
  </cols>
  <sheetData>
    <row r="1" spans="1:5" ht="34.5" customHeight="1">
      <c r="A1" s="11" t="s">
        <v>5</v>
      </c>
      <c r="B1" s="11"/>
      <c r="C1" s="11"/>
      <c r="D1" s="11"/>
      <c r="E1" s="11"/>
    </row>
    <row r="2" spans="1:5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ht="15" customHeight="1">
      <c r="A3">
        <v>1</v>
      </c>
      <c r="B3" s="3" t="s">
        <v>6</v>
      </c>
      <c r="C3" s="7">
        <v>16714000</v>
      </c>
      <c r="D3" s="4">
        <v>414800000</v>
      </c>
      <c r="E3" s="7">
        <f>D3-C3</f>
        <v>398086000</v>
      </c>
    </row>
    <row r="4" spans="1:5">
      <c r="A4">
        <v>2</v>
      </c>
      <c r="B4" s="1" t="s">
        <v>7</v>
      </c>
      <c r="C4" s="7">
        <v>12500000</v>
      </c>
      <c r="D4" s="4">
        <v>25000000</v>
      </c>
      <c r="E4" s="7">
        <f t="shared" ref="E4:E34" si="0">D4-C4</f>
        <v>12500000</v>
      </c>
    </row>
    <row r="5" spans="1:5">
      <c r="A5">
        <v>3</v>
      </c>
      <c r="B5" s="2" t="s">
        <v>8</v>
      </c>
      <c r="C5" s="7">
        <v>100000</v>
      </c>
      <c r="D5" s="4">
        <v>160000</v>
      </c>
      <c r="E5" s="7">
        <f t="shared" si="0"/>
        <v>60000</v>
      </c>
    </row>
    <row r="6" spans="1:5">
      <c r="A6">
        <v>4</v>
      </c>
      <c r="B6" s="2" t="s">
        <v>9</v>
      </c>
      <c r="C6" s="7">
        <v>67000000</v>
      </c>
      <c r="D6" s="4">
        <v>71500000</v>
      </c>
      <c r="E6" s="7">
        <f t="shared" si="0"/>
        <v>4500000</v>
      </c>
    </row>
    <row r="7" spans="1:5">
      <c r="A7">
        <v>5</v>
      </c>
      <c r="B7" s="2" t="s">
        <v>10</v>
      </c>
      <c r="C7" s="7">
        <v>114700000</v>
      </c>
      <c r="D7" s="4">
        <v>175000000</v>
      </c>
      <c r="E7" s="7">
        <f t="shared" si="0"/>
        <v>60300000</v>
      </c>
    </row>
    <row r="8" spans="1:5">
      <c r="A8">
        <v>6</v>
      </c>
      <c r="B8" s="2" t="s">
        <v>11</v>
      </c>
      <c r="C8" s="7">
        <v>15000000</v>
      </c>
      <c r="D8" s="4">
        <v>28000000</v>
      </c>
      <c r="E8" s="7">
        <f t="shared" si="0"/>
        <v>13000000</v>
      </c>
    </row>
    <row r="9" spans="1:5">
      <c r="A9">
        <v>7</v>
      </c>
      <c r="B9" s="2" t="s">
        <v>12</v>
      </c>
      <c r="C9" s="7">
        <v>2400000</v>
      </c>
      <c r="D9" s="4">
        <v>4400000</v>
      </c>
      <c r="E9" s="7">
        <f t="shared" si="0"/>
        <v>2000000</v>
      </c>
    </row>
    <row r="10" spans="1:5">
      <c r="A10">
        <v>8</v>
      </c>
      <c r="B10" s="2" t="s">
        <v>13</v>
      </c>
      <c r="C10" s="7">
        <v>6900000</v>
      </c>
      <c r="D10" s="4">
        <v>8000000</v>
      </c>
      <c r="E10" s="7">
        <f t="shared" si="0"/>
        <v>1100000</v>
      </c>
    </row>
    <row r="11" spans="1:5">
      <c r="A11">
        <v>9</v>
      </c>
      <c r="B11" s="2" t="s">
        <v>14</v>
      </c>
      <c r="C11" s="7">
        <v>302250000</v>
      </c>
      <c r="D11" s="4">
        <v>350000000</v>
      </c>
      <c r="E11" s="7">
        <f t="shared" si="0"/>
        <v>47750000</v>
      </c>
    </row>
    <row r="12" spans="1:5">
      <c r="A12">
        <v>10</v>
      </c>
      <c r="B12" s="2" t="s">
        <v>15</v>
      </c>
      <c r="C12" s="7">
        <v>758416000</v>
      </c>
      <c r="D12" s="4">
        <v>840000000</v>
      </c>
      <c r="E12" s="7">
        <f t="shared" si="0"/>
        <v>81584000</v>
      </c>
    </row>
    <row r="13" spans="1:5">
      <c r="A13">
        <v>11</v>
      </c>
      <c r="B13" s="2" t="s">
        <v>16</v>
      </c>
      <c r="C13" s="7">
        <v>65000000</v>
      </c>
      <c r="D13" s="4">
        <v>75000000</v>
      </c>
      <c r="E13" s="7">
        <f t="shared" si="0"/>
        <v>10000000</v>
      </c>
    </row>
    <row r="14" spans="1:5">
      <c r="A14">
        <v>12</v>
      </c>
      <c r="B14" s="1" t="s">
        <v>17</v>
      </c>
      <c r="C14" s="7">
        <v>87175000</v>
      </c>
      <c r="D14" s="4">
        <v>87500000</v>
      </c>
      <c r="E14" s="7">
        <f t="shared" si="0"/>
        <v>325000</v>
      </c>
    </row>
    <row r="15" spans="1:5">
      <c r="A15">
        <v>13</v>
      </c>
      <c r="B15" s="1" t="s">
        <v>18</v>
      </c>
      <c r="C15" s="7">
        <v>7000000</v>
      </c>
      <c r="D15" s="4">
        <v>50000000</v>
      </c>
      <c r="E15" s="7">
        <f t="shared" si="0"/>
        <v>43000000</v>
      </c>
    </row>
    <row r="16" spans="1:5">
      <c r="A16">
        <v>14</v>
      </c>
      <c r="B16" s="1" t="s">
        <v>19</v>
      </c>
      <c r="C16" s="7">
        <v>1100000</v>
      </c>
      <c r="D16" s="4">
        <v>1500000</v>
      </c>
      <c r="E16" s="7">
        <f t="shared" si="0"/>
        <v>400000</v>
      </c>
    </row>
    <row r="17" spans="1:5">
      <c r="A17">
        <v>15</v>
      </c>
      <c r="B17" s="2" t="s">
        <v>20</v>
      </c>
      <c r="C17" s="7">
        <v>39500000</v>
      </c>
      <c r="D17" s="4">
        <v>3750000</v>
      </c>
      <c r="E17" s="7">
        <f t="shared" si="0"/>
        <v>-35750000</v>
      </c>
    </row>
    <row r="18" spans="1:5">
      <c r="A18">
        <v>16</v>
      </c>
      <c r="B18" s="2" t="s">
        <v>21</v>
      </c>
      <c r="C18" s="7"/>
      <c r="D18" s="4">
        <v>27500000</v>
      </c>
      <c r="E18" s="7">
        <f t="shared" si="0"/>
        <v>27500000</v>
      </c>
    </row>
    <row r="19" spans="1:5">
      <c r="A19">
        <v>17</v>
      </c>
      <c r="B19" s="1" t="s">
        <v>22</v>
      </c>
      <c r="C19" s="7"/>
      <c r="D19" s="4">
        <v>36000000</v>
      </c>
      <c r="E19" s="7">
        <f t="shared" si="0"/>
        <v>36000000</v>
      </c>
    </row>
    <row r="20" spans="1:5">
      <c r="A20">
        <v>18</v>
      </c>
      <c r="B20" s="1" t="s">
        <v>23</v>
      </c>
      <c r="C20" s="7">
        <v>1780000</v>
      </c>
      <c r="D20" s="4">
        <v>2925000</v>
      </c>
      <c r="E20" s="7">
        <f t="shared" si="0"/>
        <v>1145000</v>
      </c>
    </row>
    <row r="21" spans="1:5">
      <c r="A21">
        <v>19</v>
      </c>
      <c r="B21" s="1" t="s">
        <v>24</v>
      </c>
      <c r="C21" s="7">
        <v>7900000</v>
      </c>
      <c r="D21" s="4">
        <v>8840000</v>
      </c>
      <c r="E21" s="7">
        <f t="shared" si="0"/>
        <v>940000</v>
      </c>
    </row>
    <row r="22" spans="1:5">
      <c r="A22">
        <v>20</v>
      </c>
      <c r="B22" s="1" t="s">
        <v>25</v>
      </c>
      <c r="C22" s="7">
        <v>7600000</v>
      </c>
      <c r="D22" s="4">
        <v>10400000</v>
      </c>
      <c r="E22" s="7">
        <f t="shared" si="0"/>
        <v>2800000</v>
      </c>
    </row>
    <row r="23" spans="1:5">
      <c r="A23">
        <v>21</v>
      </c>
      <c r="B23" s="1" t="s">
        <v>26</v>
      </c>
      <c r="C23" s="7">
        <v>6000000</v>
      </c>
      <c r="D23" s="4">
        <v>6000000</v>
      </c>
      <c r="E23" s="7">
        <f t="shared" si="0"/>
        <v>0</v>
      </c>
    </row>
    <row r="24" spans="1:5">
      <c r="A24">
        <v>22</v>
      </c>
      <c r="B24" s="1" t="s">
        <v>27</v>
      </c>
      <c r="C24" s="7">
        <v>50000000</v>
      </c>
      <c r="D24" s="4">
        <v>50000000</v>
      </c>
      <c r="E24" s="7">
        <f t="shared" si="0"/>
        <v>0</v>
      </c>
    </row>
    <row r="25" spans="1:5">
      <c r="A25">
        <v>23</v>
      </c>
      <c r="B25" s="1" t="s">
        <v>28</v>
      </c>
      <c r="C25" s="7">
        <v>3900000</v>
      </c>
      <c r="D25" s="4">
        <v>7000000</v>
      </c>
      <c r="E25" s="7">
        <f t="shared" si="0"/>
        <v>3100000</v>
      </c>
    </row>
    <row r="26" spans="1:5" ht="30" customHeight="1">
      <c r="A26">
        <v>24</v>
      </c>
      <c r="B26" s="5" t="s">
        <v>29</v>
      </c>
      <c r="C26" s="8">
        <v>172500000</v>
      </c>
      <c r="D26" s="4">
        <v>189970000</v>
      </c>
      <c r="E26" s="7">
        <f t="shared" si="0"/>
        <v>17470000</v>
      </c>
    </row>
    <row r="27" spans="1:5" ht="29.25" customHeight="1">
      <c r="A27">
        <v>25</v>
      </c>
      <c r="B27" s="6" t="s">
        <v>30</v>
      </c>
      <c r="C27" s="9">
        <v>1000000000</v>
      </c>
      <c r="D27" s="4">
        <v>1113200000</v>
      </c>
      <c r="E27" s="7">
        <f t="shared" si="0"/>
        <v>113200000</v>
      </c>
    </row>
    <row r="28" spans="1:5" ht="22.5" customHeight="1">
      <c r="A28">
        <v>26</v>
      </c>
      <c r="B28" s="6" t="s">
        <v>31</v>
      </c>
      <c r="C28" s="9">
        <v>399000000</v>
      </c>
      <c r="D28" s="4">
        <v>438900000</v>
      </c>
      <c r="E28" s="7">
        <f t="shared" si="0"/>
        <v>39900000</v>
      </c>
    </row>
    <row r="29" spans="1:5" ht="27.75" customHeight="1">
      <c r="A29">
        <v>27</v>
      </c>
      <c r="B29" s="6" t="s">
        <v>32</v>
      </c>
      <c r="C29" s="9">
        <v>252500000</v>
      </c>
      <c r="D29" s="4">
        <v>277750000</v>
      </c>
      <c r="E29" s="7">
        <f t="shared" si="0"/>
        <v>25250000</v>
      </c>
    </row>
    <row r="30" spans="1:5" ht="30" customHeight="1">
      <c r="A30">
        <v>28</v>
      </c>
      <c r="B30" s="6" t="s">
        <v>33</v>
      </c>
      <c r="C30" s="9">
        <v>446900000</v>
      </c>
      <c r="D30" s="4">
        <v>541200000</v>
      </c>
      <c r="E30" s="7">
        <f t="shared" si="0"/>
        <v>94300000</v>
      </c>
    </row>
    <row r="31" spans="1:5" ht="27.75" customHeight="1">
      <c r="A31">
        <v>29</v>
      </c>
      <c r="B31" s="1" t="s">
        <v>34</v>
      </c>
      <c r="C31" s="10">
        <v>376000000</v>
      </c>
      <c r="D31" s="4">
        <v>418000000</v>
      </c>
      <c r="E31" s="7">
        <f t="shared" si="0"/>
        <v>42000000</v>
      </c>
    </row>
    <row r="32" spans="1:5" ht="27.75" customHeight="1">
      <c r="A32">
        <v>30</v>
      </c>
      <c r="B32" s="1" t="s">
        <v>35</v>
      </c>
      <c r="C32" s="10">
        <v>7500000</v>
      </c>
      <c r="D32" s="4">
        <v>125000000</v>
      </c>
      <c r="E32" s="7">
        <f t="shared" si="0"/>
        <v>117500000</v>
      </c>
    </row>
    <row r="33" spans="1:5" ht="27" customHeight="1">
      <c r="A33">
        <v>31</v>
      </c>
      <c r="B33" s="1" t="s">
        <v>36</v>
      </c>
      <c r="C33" s="10">
        <v>7000000</v>
      </c>
      <c r="D33" s="4">
        <v>78000000</v>
      </c>
      <c r="E33" s="7">
        <f t="shared" si="0"/>
        <v>71000000</v>
      </c>
    </row>
    <row r="34" spans="1:5">
      <c r="A34">
        <v>32</v>
      </c>
      <c r="B34" s="1" t="s">
        <v>37</v>
      </c>
      <c r="C34" s="10">
        <v>4100000</v>
      </c>
      <c r="D34" s="4">
        <v>60000000</v>
      </c>
      <c r="E34" s="7">
        <f t="shared" si="0"/>
        <v>55900000</v>
      </c>
    </row>
    <row r="35" spans="1:5">
      <c r="C35" s="7">
        <f>SUM(C3:C34)</f>
        <v>4238435000</v>
      </c>
      <c r="D35" s="7">
        <f>SUM(D3:D34)</f>
        <v>5525295000</v>
      </c>
      <c r="E35" s="7">
        <f>D35-C35</f>
        <v>1286860000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mansoursafari2@gmail.com</dc:creator>
  <cp:lastModifiedBy>mansoursafari2@gmail.com</cp:lastModifiedBy>
  <dcterms:created xsi:type="dcterms:W3CDTF">2025-01-01T03:57:56Z</dcterms:created>
  <dcterms:modified xsi:type="dcterms:W3CDTF">2025-05-24T06:49:23Z</dcterms:modified>
</cp:coreProperties>
</file>